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. NRR" sheetId="2" state="visible" r:id="rId4"/>
    <sheet name="2. Assessment" sheetId="3" state="visible" r:id="rId5"/>
    <sheet name="3. Scorecard" sheetId="4" state="visible" r:id="rId6"/>
    <sheet name="4. Rubric" sheetId="5" state="visible" r:id="rId7"/>
    <sheet name="5. NRR Semantics" sheetId="6" state="visible" r:id="rId8"/>
    <sheet name="_rubric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M1 Definition &amp; Scope (FOUNDATION)
Single documented NRR definition agreed across functions.</t>
        </r>
      </text>
    </comment>
    <comment ref="C11" authorId="0">
      <text>
        <r>
          <rPr>
            <sz val="10"/>
            <rFont val="Arial"/>
            <family val="2"/>
          </rPr>
          <t xml:space="preserve">M2 Component Capture (FOUNDATION)
Start, Expansion, Contraction, Churn captured cleanly per period.</t>
        </r>
      </text>
    </comment>
    <comment ref="C12" authorId="0">
      <text>
        <r>
          <rPr>
            <sz val="10"/>
            <rFont val="Arial"/>
            <family val="2"/>
          </rPr>
          <t xml:space="preserve">M3 Calculation Method (RIGOR)
NRR calculation automated, version-controlled, reproducible.</t>
        </r>
      </text>
    </comment>
    <comment ref="C13" authorId="0">
      <text>
        <r>
          <rPr>
            <sz val="10"/>
            <rFont val="Arial"/>
            <family val="2"/>
          </rPr>
          <t xml:space="preserve">M4 Granularity (RIGOR)
NRR sliceable by product, segment, cohort, tenure, geo.</t>
        </r>
      </text>
    </comment>
    <comment ref="C14" authorId="0">
      <text>
        <r>
          <rPr>
            <sz val="10"/>
            <rFont val="Arial"/>
            <family val="2"/>
          </rPr>
          <t xml:space="preserve">M5 Cadence (DISTRIBUTE)
NRR refreshed at a cadence that makes it actionable.</t>
        </r>
      </text>
    </comment>
    <comment ref="C15" authorId="0">
      <text>
        <r>
          <rPr>
            <sz val="10"/>
            <rFont val="Arial"/>
            <family val="2"/>
          </rPr>
          <t xml:space="preserve">M6 Trust &amp; Distribution (DISTRIBUTE)
NRR trusted at exec and board levels — not disputed at every readout.</t>
        </r>
      </text>
    </comment>
    <comment ref="C16" authorId="0">
      <text>
        <r>
          <rPr>
            <sz val="10"/>
            <rFont val="Arial"/>
            <family val="2"/>
          </rPr>
          <t xml:space="preserve">M7 Forward-Looking (DISTRIBUTE)
Leading indicators and forecast — not just historical reporting.</t>
        </r>
      </text>
    </comment>
    <comment ref="C22" authorId="0">
      <text>
        <r>
          <rPr>
            <sz val="10"/>
            <rFont val="Arial"/>
            <family val="2"/>
          </rPr>
          <t xml:space="preserve">L1 Impact Engine (PROVE)
Prove the value an account is getting today.</t>
        </r>
      </text>
    </comment>
    <comment ref="C23" authorId="0">
      <text>
        <r>
          <rPr>
            <sz val="10"/>
            <rFont val="Arial"/>
            <family val="2"/>
          </rPr>
          <t xml:space="preserve">L2 Whitespace (PROVE)
Surface headroom and risk across the base.</t>
        </r>
      </text>
    </comment>
    <comment ref="C24" authorId="0">
      <text>
        <r>
          <rPr>
            <sz val="10"/>
            <rFont val="Arial"/>
            <family val="2"/>
          </rPr>
          <t xml:space="preserve">L3 Account Plan (SELL)
Plan per account against live signals.</t>
        </r>
      </text>
    </comment>
    <comment ref="C25" authorId="0">
      <text>
        <r>
          <rPr>
            <sz val="10"/>
            <rFont val="Arial"/>
            <family val="2"/>
          </rPr>
          <t xml:space="preserve">L4 Plays (SELL)
Run the right play when a signal fires.</t>
        </r>
      </text>
    </comment>
    <comment ref="C26" authorId="0">
      <text>
        <r>
          <rPr>
            <sz val="10"/>
            <rFont val="Arial"/>
            <family val="2"/>
          </rPr>
          <t xml:space="preserve">L5 Execution (SELL)
Execute the motion stage-by-stage.</t>
        </r>
      </text>
    </comment>
    <comment ref="C27" authorId="0">
      <text>
        <r>
          <rPr>
            <sz val="10"/>
            <rFont val="Arial"/>
            <family val="2"/>
          </rPr>
          <t xml:space="preserve">L6 Incentives (REINFORCE)
Comp the right outcomes.</t>
        </r>
      </text>
    </comment>
    <comment ref="C28" authorId="0">
      <text>
        <r>
          <rPr>
            <sz val="10"/>
            <rFont val="Arial"/>
            <family val="2"/>
          </rPr>
          <t xml:space="preserve">L7 Governance (REINFORCE)
Govern the program — forecast, risk, post-mortem.</t>
        </r>
      </text>
    </comment>
    <comment ref="C34" authorId="0">
      <text>
        <r>
          <rPr>
            <sz val="10"/>
            <rFont val="Arial"/>
            <family val="2"/>
          </rPr>
          <t xml:space="preserve">L1 Impact Engine (PROVE)
Prove the value an account is getting today.</t>
        </r>
      </text>
    </comment>
    <comment ref="C35" authorId="0">
      <text>
        <r>
          <rPr>
            <sz val="10"/>
            <rFont val="Arial"/>
            <family val="2"/>
          </rPr>
          <t xml:space="preserve">L2 Whitespace (PROVE)
Surface headroom and risk across the base.</t>
        </r>
      </text>
    </comment>
    <comment ref="C36" authorId="0">
      <text>
        <r>
          <rPr>
            <sz val="10"/>
            <rFont val="Arial"/>
            <family val="2"/>
          </rPr>
          <t xml:space="preserve">L3 Account Plan (SELL)
Plan per account against live signals.</t>
        </r>
      </text>
    </comment>
    <comment ref="C37" authorId="0">
      <text>
        <r>
          <rPr>
            <sz val="10"/>
            <rFont val="Arial"/>
            <family val="2"/>
          </rPr>
          <t xml:space="preserve">L4 Plays (SELL)
Run the right play when a signal fires.</t>
        </r>
      </text>
    </comment>
    <comment ref="C38" authorId="0">
      <text>
        <r>
          <rPr>
            <sz val="10"/>
            <rFont val="Arial"/>
            <family val="2"/>
          </rPr>
          <t xml:space="preserve">L5 Execution (SELL)
Execute the motion stage-by-stage.</t>
        </r>
      </text>
    </comment>
    <comment ref="C39" authorId="0">
      <text>
        <r>
          <rPr>
            <sz val="10"/>
            <rFont val="Arial"/>
            <family val="2"/>
          </rPr>
          <t xml:space="preserve">L6 Incentives (REINFORCE)
Comp the right outcomes.</t>
        </r>
      </text>
    </comment>
    <comment ref="C40" authorId="0">
      <text>
        <r>
          <rPr>
            <sz val="10"/>
            <rFont val="Arial"/>
            <family val="2"/>
          </rPr>
          <t xml:space="preserve">L7 Governance (REINFORCE)
Govern the program — forecast, risk, post-mortem.</t>
        </r>
      </text>
    </comment>
    <comment ref="C46" authorId="0">
      <text>
        <r>
          <rPr>
            <sz val="10"/>
            <rFont val="Arial"/>
            <family val="2"/>
          </rPr>
          <t xml:space="preserve">L1 Impact Engine (PROVE)
Prove the value an account is getting today.</t>
        </r>
      </text>
    </comment>
    <comment ref="C47" authorId="0">
      <text>
        <r>
          <rPr>
            <sz val="10"/>
            <rFont val="Arial"/>
            <family val="2"/>
          </rPr>
          <t xml:space="preserve">L2 Whitespace (PROVE)
Surface headroom and risk across the base.</t>
        </r>
      </text>
    </comment>
    <comment ref="C48" authorId="0">
      <text>
        <r>
          <rPr>
            <sz val="10"/>
            <rFont val="Arial"/>
            <family val="2"/>
          </rPr>
          <t xml:space="preserve">L3 Account Plan (SELL)
Plan per account against live signals.</t>
        </r>
      </text>
    </comment>
    <comment ref="C49" authorId="0">
      <text>
        <r>
          <rPr>
            <sz val="10"/>
            <rFont val="Arial"/>
            <family val="2"/>
          </rPr>
          <t xml:space="preserve">L4 Plays (SELL)
Run the right play when a signal fires.</t>
        </r>
      </text>
    </comment>
    <comment ref="C50" authorId="0">
      <text>
        <r>
          <rPr>
            <sz val="10"/>
            <rFont val="Arial"/>
            <family val="2"/>
          </rPr>
          <t xml:space="preserve">L5 Execution (SELL)
Execute the motion stage-by-stage.</t>
        </r>
      </text>
    </comment>
    <comment ref="C51" authorId="0">
      <text>
        <r>
          <rPr>
            <sz val="10"/>
            <rFont val="Arial"/>
            <family val="2"/>
          </rPr>
          <t xml:space="preserve">L6 Incentives (REINFORCE)
Comp the right outcomes.</t>
        </r>
      </text>
    </comment>
    <comment ref="C52" authorId="0">
      <text>
        <r>
          <rPr>
            <sz val="10"/>
            <rFont val="Arial"/>
            <family val="2"/>
          </rPr>
          <t xml:space="preserve">L7 Governance (REINFORCE)
Govern the program — forecast, risk, post-mortem.</t>
        </r>
      </text>
    </comment>
  </commentList>
</comments>
</file>

<file path=xl/sharedStrings.xml><?xml version="1.0" encoding="utf-8"?>
<sst xmlns="http://schemas.openxmlformats.org/spreadsheetml/2006/main" count="1489" uniqueCount="1144">
  <si>
    <t xml:space="preserve">LOREMEX · NRR INTELLIGENCE</t>
  </si>
  <si>
    <t xml:space="preserve">Online Assessment — Dropdown Rubric Edition</t>
  </si>
  <si>
    <t xml:space="preserve">What this is</t>
  </si>
  <si>
    <t xml:space="preserve">Self-diagnostic for revenue, CS, and finance leaders. Four blocks: NRR Reporting (how the number is measured) plus three action capabilities (Retention, Expansion, Pricing Optimization). Each block has 7 rows × 4 dimensions; each dimension cell is a dropdown — pick the level (1–5) whose description matches your reality and the cell auto-populates with that description.</t>
  </si>
  <si>
    <t xml:space="preserve">How it works</t>
  </si>
  <si>
    <t xml:space="preserve">For each lever, read the lever question. Then for each of the 4 dimensions (People, Process, Technology, Data), click the dropdown — you'll see 5 descriptors of what each maturity level looks like. Pick the one that matches your current state. The cell fills with that descriptor, and the level number drives all the rollups.</t>
  </si>
  <si>
    <t xml:space="preserve">1.</t>
  </si>
  <si>
    <t xml:space="preserve">NRR Calculator</t>
  </si>
  <si>
    <t xml:space="preserve">Tab '1. NRR' — enter the four MRR components. Outputs: NRR, GRR, net movement.</t>
  </si>
  <si>
    <t xml:space="preserve">2.</t>
  </si>
  <si>
    <t xml:space="preserve">Assessment</t>
  </si>
  <si>
    <t xml:space="preserve">Tab '2. Assessment' — 112 dropdown cells (28 per capability block). Pick the level descriptor for each. Start with NRR Reporting (foundational) before the 3 action blocks.</t>
  </si>
  <si>
    <t xml:space="preserve">3.</t>
  </si>
  <si>
    <t xml:space="preserve">Scorecard</t>
  </si>
  <si>
    <t xml:space="preserve">Tab '3. Scorecard' — cross-capability dimension view, per-capability heatmaps, lever and dimension rollups.</t>
  </si>
  <si>
    <t xml:space="preserve">4.</t>
  </si>
  <si>
    <t xml:space="preserve">Rubric</t>
  </si>
  <si>
    <t xml:space="preserve">Tab '4. Rubric' — full L1-L5 ladder for each (lever × dimension), intelligence ladder, 7-lever framework with PRD weights.</t>
  </si>
  <si>
    <t xml:space="preserve">The Intelligence Ladder</t>
  </si>
  <si>
    <t xml:space="preserve">Every dropdown uses this 5-level ladder. Names match the Loremex PRD scale.</t>
  </si>
  <si>
    <t xml:space="preserve">Level</t>
  </si>
  <si>
    <t xml:space="preserve">Name</t>
  </si>
  <si>
    <t xml:space="preserve">Posture</t>
  </si>
  <si>
    <t xml:space="preserve">What it looks like</t>
  </si>
  <si>
    <t xml:space="preserve">Ad Hoc</t>
  </si>
  <si>
    <t xml:space="preserve">Blind — No reliable view; instinct-driven decisions; people-only, no tooling or data substrate.</t>
  </si>
  <si>
    <t xml:space="preserve">Assigned</t>
  </si>
  <si>
    <t xml:space="preserve">Reactive — Data is captured somewhere but used after the fact; manual stitching; a few people do the work.</t>
  </si>
  <si>
    <t xml:space="preserve">Accountable</t>
  </si>
  <si>
    <t xml:space="preserve">Diagnostic — Data is joined and tooled; team can answer 'why' with effort; standardized process; clear ownership.</t>
  </si>
  <si>
    <t xml:space="preserve">Optimised</t>
  </si>
  <si>
    <t xml:space="preserve">Predictive — Systems flag what's coming; near-real-time signals route work; closed-loop measurement and governance.</t>
  </si>
  <si>
    <t xml:space="preserve">Predictive</t>
  </si>
  <si>
    <t xml:space="preserve">Intelligent — System senses, predicts, recommends, acts, and learns; continuously refined; effort is leveraged.</t>
  </si>
  <si>
    <t xml:space="preserve">Notes</t>
  </si>
  <si>
    <t xml:space="preserve">• Yellow cells = your inputs (the dropdowns). Blank = skip; excluded from rollups.</t>
  </si>
  <si>
    <t xml:space="preserve">• Lever Avg = average of the 4 dimension scores for that lever.</t>
  </si>
  <si>
    <t xml:space="preserve">• Capability Overall = lever-weighted average using PRD weights (L1 18%, L2 12%, L3 10%, L4 12%, L5 15%, L6 18%, L7 15%).</t>
  </si>
  <si>
    <t xml:space="preserve">• Cross-capability Dim Avg shows which dimensions are weak system-wide — your horizontal investment thesis.</t>
  </si>
  <si>
    <t xml:space="preserve">• Each capability has its own dropdown rubric — NRR Reporting uses M1-M7 measurement categories with FOUNDATION / RIGOR / DISTRIBUTE themes; the three action capabilities use the L1-L7 PRD levers with PROVE / SELL / REINFORCE themes.</t>
  </si>
  <si>
    <t xml:space="preserve">Preliminary NRR</t>
  </si>
  <si>
    <t xml:space="preserve">Enter the four components for your most recent measured period. NRR and GRR compute below.</t>
  </si>
  <si>
    <t xml:space="preserve">NRR  =  ( Starting MRR  +  Expansion  −  Contraction  −  Churn )  ÷  Starting MRR</t>
  </si>
  <si>
    <t xml:space="preserve">INPUTS</t>
  </si>
  <si>
    <t xml:space="preserve">Component</t>
  </si>
  <si>
    <t xml:space="preserve">Definition</t>
  </si>
  <si>
    <t xml:space="preserve">Excludes</t>
  </si>
  <si>
    <t xml:space="preserve">Value ($)</t>
  </si>
  <si>
    <t xml:space="preserve">Starting MRR</t>
  </si>
  <si>
    <t xml:space="preserve">Cohort base — accounts active in both baseline months.</t>
  </si>
  <si>
    <t xml:space="preserve">New-logo revenue; accounts in only one baseline month.</t>
  </si>
  <si>
    <t xml:space="preserve">Expansion MRR</t>
  </si>
  <si>
    <t xml:space="preserve">Positive recurring delta within retained accounts.</t>
  </si>
  <si>
    <t xml:space="preserve">New logos; reactivation of churned accounts.</t>
  </si>
  <si>
    <t xml:space="preserve">Contraction MRR</t>
  </si>
  <si>
    <t xml:space="preserve">Negative recurring delta within retained accounts.</t>
  </si>
  <si>
    <t xml:space="preserve">Full-logo loss (that is churn).</t>
  </si>
  <si>
    <t xml:space="preserve">Churn MRR</t>
  </si>
  <si>
    <t xml:space="preserve">Full-logo loss: account recurring revenue → $0 vs prior period.</t>
  </si>
  <si>
    <t xml:space="preserve">Partial downgrades (those are contraction).</t>
  </si>
  <si>
    <t xml:space="preserve">OUTPUTS</t>
  </si>
  <si>
    <t xml:space="preserve">Metric</t>
  </si>
  <si>
    <t xml:space="preserve">Formula</t>
  </si>
  <si>
    <t xml:space="preserve">Result</t>
  </si>
  <si>
    <t xml:space="preserve">Interpretation</t>
  </si>
  <si>
    <t xml:space="preserve">NRR</t>
  </si>
  <si>
    <t xml:space="preserve">(Start + Exp − Contr − Churn) ÷ Start</t>
  </si>
  <si>
    <t xml:space="preserve">GRR</t>
  </si>
  <si>
    <t xml:space="preserve">(Start − Contr − Churn) ÷ Start</t>
  </si>
  <si>
    <t xml:space="preserve">Retention-only — strip out expansion to see the base on its own</t>
  </si>
  <si>
    <t xml:space="preserve">Net Movement</t>
  </si>
  <si>
    <t xml:space="preserve">Exp − Contr − Churn</t>
  </si>
  <si>
    <t xml:space="preserve">Intelligence Assessment</t>
  </si>
  <si>
    <t xml:space="preserve">112 dropdowns — 4 capability blocks of (7 rows × 4 dimensions). Start with NRR Reporting (how the number is measured) before the 3 action capabilities. Click any dimension cell to open the dropdown; pick the level (1–5) whose description matches your reality and the cell fills with that descriptor.</t>
  </si>
  <si>
    <t xml:space="preserve">Scale:    1 — Ad Hoc (Blind)    ·    2 — Assigned (Reactive)    ·    3 — Accountable (Diagnostic)    ·    4 — Optimised (Predictive)    ·    5 — Predictive (Intelligent)</t>
  </si>
  <si>
    <t xml:space="preserve">  NRR REPORTING</t>
  </si>
  <si>
    <t xml:space="preserve">  How the company defines, calculates, and reports the NRR number itself.</t>
  </si>
  <si>
    <t xml:space="preserve">Category</t>
  </si>
  <si>
    <t xml:space="preserve">Theme</t>
  </si>
  <si>
    <t xml:space="preserve">Question</t>
  </si>
  <si>
    <t xml:space="preserve">Pick the answer that best matches your reality</t>
  </si>
  <si>
    <t xml:space="preserve">M1</t>
  </si>
  <si>
    <t xml:space="preserve">Definition &amp; Scope</t>
  </si>
  <si>
    <t xml:space="preserve">FOUNDATION</t>
  </si>
  <si>
    <t xml:space="preserve">Can every NRR conversation anchor in a single, documented, agreed-upon definition — including netting rules, cohort lock, and component scope?</t>
  </si>
  <si>
    <t xml:space="preserve">M2</t>
  </si>
  <si>
    <t xml:space="preserve">Component Capture</t>
  </si>
  <si>
    <t xml:space="preserve">Can the company capture Starting MRR, Expansion, Contraction, and Churn cleanly per period without manual stitching or reconciliation pain?</t>
  </si>
  <si>
    <t xml:space="preserve">M3</t>
  </si>
  <si>
    <t xml:space="preserve">Calculation Method</t>
  </si>
  <si>
    <t xml:space="preserve">RIGOR</t>
  </si>
  <si>
    <t xml:space="preserve">Is the NRR calculation automated, version-controlled, auditable, and reproducible across periods — or does the number change depending on who runs it?</t>
  </si>
  <si>
    <t xml:space="preserve">M4</t>
  </si>
  <si>
    <t xml:space="preserve">Granularity</t>
  </si>
  <si>
    <t xml:space="preserve">Can NRR be sliced by product, segment, cohort, tenure, and geo on demand — with consistent definitions across every cut?</t>
  </si>
  <si>
    <t xml:space="preserve">M5</t>
  </si>
  <si>
    <t xml:space="preserve">Cadence</t>
  </si>
  <si>
    <t xml:space="preserve">DISTRIBUTE</t>
  </si>
  <si>
    <t xml:space="preserve">Is NRR refreshed at a cadence that makes it actionable — or is the latest number weeks behind reality?</t>
  </si>
  <si>
    <t xml:space="preserve">M6</t>
  </si>
  <si>
    <t xml:space="preserve">Trust &amp; Distribution</t>
  </si>
  <si>
    <t xml:space="preserve">Is the NRR number trusted at exec and board levels — informing strategic decisions and valuation — or disputed at every readout?</t>
  </si>
  <si>
    <t xml:space="preserve">M7</t>
  </si>
  <si>
    <t xml:space="preserve">Forward-Looking</t>
  </si>
  <si>
    <t xml:space="preserve">Does NRR reporting include leading indicators and forecast that flag trajectory before the number moves — or is it strictly backward-looking?</t>
  </si>
  <si>
    <t xml:space="preserve">Capability Overall (weighted)</t>
  </si>
  <si>
    <t xml:space="preserve">  REVENUE RETENTION</t>
  </si>
  <si>
    <t xml:space="preserve">  Defending the installed base — preventing churn and contraction.</t>
  </si>
  <si>
    <t xml:space="preserve">Lever</t>
  </si>
  <si>
    <t xml:space="preserve">People</t>
  </si>
  <si>
    <t xml:space="preserve">Process</t>
  </si>
  <si>
    <t xml:space="preserve">Technology</t>
  </si>
  <si>
    <t xml:space="preserve">Data</t>
  </si>
  <si>
    <t xml:space="preserve">Lever Avg</t>
  </si>
  <si>
    <t xml:space="preserve">L1</t>
  </si>
  <si>
    <t xml:space="preserve">Impact Engine</t>
  </si>
  <si>
    <t xml:space="preserve">PROVE</t>
  </si>
  <si>
    <t xml:space="preserve">Can the company sense realized value per account, predict where it's slipping, and act on the evidence before renewal?</t>
  </si>
  <si>
    <t xml:space="preserve">L2</t>
  </si>
  <si>
    <t xml:space="preserve">Whitespace</t>
  </si>
  <si>
    <t xml:space="preserve">Can the company sense renewal risk and adoption gaps, predict where they'll surface, and route the right intervention in time?</t>
  </si>
  <si>
    <t xml:space="preserve">L3</t>
  </si>
  <si>
    <t xml:space="preserve">Account Plan</t>
  </si>
  <si>
    <t xml:space="preserve">SELL</t>
  </si>
  <si>
    <t xml:space="preserve">Can the company plan retention moves anchored in live signals, and refine plans as account reality evolves?</t>
  </si>
  <si>
    <t xml:space="preserve">L4</t>
  </si>
  <si>
    <t xml:space="preserve">Plays</t>
  </si>
  <si>
    <t xml:space="preserve">Can the company detect retention triggers (sponsor change, usage drop, support spike), route the right play, and learn which plays land?</t>
  </si>
  <si>
    <t xml:space="preserve">L5</t>
  </si>
  <si>
    <t xml:space="preserve">Execution</t>
  </si>
  <si>
    <t xml:space="preserve">Can the team execute the renewal motion with intelligence flowing through every stage gate — value, fit, risk, commit, close?</t>
  </si>
  <si>
    <t xml:space="preserve">L6</t>
  </si>
  <si>
    <t xml:space="preserve">Incentives</t>
  </si>
  <si>
    <t xml:space="preserve">REINFORCE</t>
  </si>
  <si>
    <t xml:space="preserve">Is comp tuned by clean attribution and outcome data so reps are paid for the retention behavior that actually moves GRR?</t>
  </si>
  <si>
    <t xml:space="preserve">L7</t>
  </si>
  <si>
    <t xml:space="preserve">Governance</t>
  </si>
  <si>
    <t xml:space="preserve">Can leadership govern retention with predictive intelligence — flagging trend reversals before they show up in reported NRR?</t>
  </si>
  <si>
    <t xml:space="preserve">Dim Avg (weighted)</t>
  </si>
  <si>
    <t xml:space="preserve">  REVENUE EXPANSION</t>
  </si>
  <si>
    <t xml:space="preserve">  Growing revenue within retained accounts — seats, tiers, cross-sell.</t>
  </si>
  <si>
    <t xml:space="preserve">Can the company sense realized value per unit, predict where headroom is real, and trigger expansion conversations at the right moment?</t>
  </si>
  <si>
    <t xml:space="preserve">Can the company sense seat / usage / whitespace headroom, predict conversion likelihood, and route the right play to the right owner?</t>
  </si>
  <si>
    <t xml:space="preserve">Can account plans pull live usage signals and adapt as the account changes — or are they static documents?</t>
  </si>
  <si>
    <t xml:space="preserve">Can the company detect expansion triggers (nearing commit, overage, role change), route the right play, and learn which signals convert?</t>
  </si>
  <si>
    <t xml:space="preserve">Can the team execute the usage-up motion with intelligence at every stage — confirm value, diagnose, tailor, trade, close?</t>
  </si>
  <si>
    <t xml:space="preserve">Is comp tuned by clean attribution and outcome data so reps are paid for the usage growth and tier-up that actually moves NRR?</t>
  </si>
  <si>
    <t xml:space="preserve">Can leadership govern expansion with predictive intelligence — sensing trajectory before it lands in the reported number?</t>
  </si>
  <si>
    <t xml:space="preserve">  PRICING OPTIMIZATION</t>
  </si>
  <si>
    <t xml:space="preserve">  Setting, defending, and evolving price to capture earned value.</t>
  </si>
  <si>
    <t xml:space="preserve">Can the company sense realized value, predict willingness-to-pay, and defend price with evidence at quote time — not cost-plus, not competitor?</t>
  </si>
  <si>
    <t xml:space="preserve">Can the company sense pricing leakage, predict where price-power exists, and route re-pricing or re-tiering before margin erodes?</t>
  </si>
  <si>
    <t xml:space="preserve">Can pricing strategy adapt per segment from live win / loss and elasticity signals, with floors and tier targets that hold?</t>
  </si>
  <si>
    <t xml:space="preserve">Can the company detect pricing triggers (discount &gt; floor, tier-mismatch, repricing opportunity), route plays, and learn which decisions hold value?</t>
  </si>
  <si>
    <t xml:space="preserve">Can the team execute pricing decisions with intelligence — anchor value, quote, defend, trade, close — instrumented and auditable?</t>
  </si>
  <si>
    <t xml:space="preserve">Is comp tuned by clean attribution and outcome data so reps are paid for price discipline and tier-up, not just volume?</t>
  </si>
  <si>
    <t xml:space="preserve">Can leadership govern pricing with predictive intelligence — flagging price-power shifts before they hit ARPA and effective discount?</t>
  </si>
  <si>
    <t xml:space="preserve">Your Scorecard</t>
  </si>
  <si>
    <t xml:space="preserve">Auto-calculated from the Assessment tab.</t>
  </si>
  <si>
    <t xml:space="preserve">HEADLINE METRICS</t>
  </si>
  <si>
    <t xml:space="preserve">NRR (preliminary)</t>
  </si>
  <si>
    <t xml:space="preserve">Overall Intelligence</t>
  </si>
  <si>
    <t xml:space="preserve">Distance to Intelligent (L5)</t>
  </si>
  <si>
    <t xml:space="preserve">CROSS-CAPABILITY DIMENSION VIEW (action capabilities only)</t>
  </si>
  <si>
    <t xml:space="preserve">Dimension</t>
  </si>
  <si>
    <t xml:space="preserve">Revenue Retention</t>
  </si>
  <si>
    <t xml:space="preserve">Revenue Expansion</t>
  </si>
  <si>
    <t xml:space="preserve">Pricing Optimization</t>
  </si>
  <si>
    <t xml:space="preserve">Dim Avg</t>
  </si>
  <si>
    <t xml:space="preserve">Gap to L5</t>
  </si>
  <si>
    <t xml:space="preserve">Capability Overall</t>
  </si>
  <si>
    <t xml:space="preserve">  NRR REPORTING — Heatmap</t>
  </si>
  <si>
    <t xml:space="preserve">Score</t>
  </si>
  <si>
    <t xml:space="preserve">M1 — Definition &amp; Scope</t>
  </si>
  <si>
    <t xml:space="preserve">M2 — Component Capture</t>
  </si>
  <si>
    <t xml:space="preserve">M3 — Calculation Method</t>
  </si>
  <si>
    <t xml:space="preserve">M4 — Granularity</t>
  </si>
  <si>
    <t xml:space="preserve">M5 — Cadence</t>
  </si>
  <si>
    <t xml:space="preserve">M6 — Trust &amp; Distribution</t>
  </si>
  <si>
    <t xml:space="preserve">M7 — Forward-Looking</t>
  </si>
  <si>
    <t xml:space="preserve">  REVENUE RETENTION — Heatmap</t>
  </si>
  <si>
    <t xml:space="preserve">L1 — Impact Engine</t>
  </si>
  <si>
    <t xml:space="preserve">L2 — Whitespace</t>
  </si>
  <si>
    <t xml:space="preserve">L3 — Account Plan</t>
  </si>
  <si>
    <t xml:space="preserve">L4 — Plays</t>
  </si>
  <si>
    <t xml:space="preserve">L5 — Execution</t>
  </si>
  <si>
    <t xml:space="preserve">L6 — Incentives</t>
  </si>
  <si>
    <t xml:space="preserve">L7 — Governance</t>
  </si>
  <si>
    <t xml:space="preserve">  REVENUE EXPANSION — Heatmap</t>
  </si>
  <si>
    <t xml:space="preserve">  PRICING OPTIMIZATION — Heatmap</t>
  </si>
  <si>
    <t xml:space="preserve">INTELLIGENCE LADDER</t>
  </si>
  <si>
    <t xml:space="preserve">Blind</t>
  </si>
  <si>
    <t xml:space="preserve">No reliable view; instinct-driven decisions; people-only, no tooling or data substrate.</t>
  </si>
  <si>
    <t xml:space="preserve">Reactive</t>
  </si>
  <si>
    <t xml:space="preserve">Data is captured somewhere but used after the fact; manual stitching; a few people do the work.</t>
  </si>
  <si>
    <t xml:space="preserve">Diagnostic</t>
  </si>
  <si>
    <t xml:space="preserve">Data is joined and tooled; team can answer 'why' with effort; standardized process; clear ownership.</t>
  </si>
  <si>
    <t xml:space="preserve">Systems flag what's coming; near-real-time signals route work; closed-loop measurement and governance.</t>
  </si>
  <si>
    <t xml:space="preserve">Intelligent</t>
  </si>
  <si>
    <t xml:space="preserve">System senses, predicts, recommends, acts, and learns; continuously refined; effort is leveraged.</t>
  </si>
  <si>
    <t xml:space="preserve">FULL RUBRIC — every (capability × lever × dimension) ladder</t>
  </si>
  <si>
    <t xml:space="preserve">These are the descriptors that appear in the Assessment tab dropdowns. Each capability has its own ladder.</t>
  </si>
  <si>
    <t xml:space="preserve">1 Ad Hoc</t>
  </si>
  <si>
    <t xml:space="preserve">2 Assigned</t>
  </si>
  <si>
    <t xml:space="preserve">3 Accountable</t>
  </si>
  <si>
    <t xml:space="preserve">4 Optimised</t>
  </si>
  <si>
    <t xml:space="preserve">5 Predictive</t>
  </si>
  <si>
    <t xml:space="preserve">M1
Definition &amp; Scope</t>
  </si>
  <si>
    <t xml:space="preserve">No agreed definition — teams use different versions; conversations derail on what 'NRR' even means.</t>
  </si>
  <si>
    <t xml:space="preserve">Informal definition exists; one analyst owns it; partial documentation; inconsistent across reports.</t>
  </si>
  <si>
    <t xml:space="preserve">Single documented definition owned by Finance / RevOps; followed consistently across all NRR reports.</t>
  </si>
  <si>
    <t xml:space="preserve">Definition under change-control; versions tracked; refreshed on cadence with audit trail.</t>
  </si>
  <si>
    <t xml:space="preserve">Continuously refined; automated consistency checks; data lineage tracked end-to-end.</t>
  </si>
  <si>
    <t xml:space="preserve">M2
Component Capture</t>
  </si>
  <si>
    <t xml:space="preserve">Components extracted ad-hoc each period via manual spreadsheet exports; heavy reconciliation pain.</t>
  </si>
  <si>
    <t xml:space="preserve">One analyst pulls components manually; partial automation; reconciliation issues are common.</t>
  </si>
  <si>
    <t xml:space="preserve">Standardized component capture documented and followed; automated extraction from billing / CRM.</t>
  </si>
  <si>
    <t xml:space="preserve">Integrated component pipeline; near-real-time capture; variance flagged automatically.</t>
  </si>
  <si>
    <t xml:space="preserve">System captures and validates components autonomously; anomalies caught proactively.</t>
  </si>
  <si>
    <t xml:space="preserve">M3
Calculation Method</t>
  </si>
  <si>
    <t xml:space="preserve">Calculated in spreadsheets; method varies by analyst; formula errors common; results not reproducible.</t>
  </si>
  <si>
    <t xml:space="preserve">Calculation steps documented but inconsistent in practice; reconciliation issues across periods.</t>
  </si>
  <si>
    <t xml:space="preserve">Calculation version-controlled in BI / dbt models; reproducible across periods; team trained.</t>
  </si>
  <si>
    <t xml:space="preserve">Calculation audited each cycle; variances investigated; cross-team validation in place.</t>
  </si>
  <si>
    <t xml:space="preserve">Continuously refined and outcome-tested; autonomous validation; closed-loop refinement.</t>
  </si>
  <si>
    <t xml:space="preserve">M4
Granularity</t>
  </si>
  <si>
    <t xml:space="preserve">NRR available only at company level; no slicing capability.</t>
  </si>
  <si>
    <t xml:space="preserve">Some slicing on ad-hoc request; inconsistent definitions across cuts; partial coverage.</t>
  </si>
  <si>
    <t xml:space="preserve">Standardized slicing across product, segment, cohort, geo, tenure with consistent definitions.</t>
  </si>
  <si>
    <t xml:space="preserve">Self-serve cohort analysis; cross-cut consistency governed; predictive cohorting available.</t>
  </si>
  <si>
    <t xml:space="preserve">Natural-language slicing; agentic cohort discovery; system surfaces meaningful cuts.</t>
  </si>
  <si>
    <t xml:space="preserve">M5
Cadence</t>
  </si>
  <si>
    <t xml:space="preserve">Reported quarterly with weeks of lag; the number feels 'after the fact' by the time it lands.</t>
  </si>
  <si>
    <t xml:space="preserve">Monthly reporting but heavy manual prep; lag of days; not actionable in-cycle.</t>
  </si>
  <si>
    <t xml:space="preserve">Monthly cadence with standardized prep; automated refresh; reliable monthly delivery.</t>
  </si>
  <si>
    <t xml:space="preserve">Weekly / on-demand reporting; near-real-time pipeline; current within a day.</t>
  </si>
  <si>
    <t xml:space="preserve">Continuous refresh; live numbers; system flags shifts as they happen.</t>
  </si>
  <si>
    <t xml:space="preserve">M6
Trust &amp; Distribution</t>
  </si>
  <si>
    <t xml:space="preserve">Number disputed at every readout; data sources contradictory; reconciliation impossible.</t>
  </si>
  <si>
    <t xml:space="preserve">Used internally but not trusted at exec level; reconciled but stakeholders still dispute.</t>
  </si>
  <si>
    <t xml:space="preserve">Trusted at department / function level; standardized distribution to leadership.</t>
  </si>
  <si>
    <t xml:space="preserve">Trusted at exec level; informs strategic decisions; integrated into operating reviews.</t>
  </si>
  <si>
    <t xml:space="preserve">Trusted at board level; basis for valuation; self-serve at all levels with explained variances.</t>
  </si>
  <si>
    <t xml:space="preserve">M7
Forward-Looking</t>
  </si>
  <si>
    <t xml:space="preserve">Only historical NRR reported; no forward view; no leading indicators captured.</t>
  </si>
  <si>
    <t xml:space="preserve">Some forecasts attempted ad hoc based on rep gut-feel; leading indicators partial.</t>
  </si>
  <si>
    <t xml:space="preserve">Documented forecast methodology with leading indicators; produced each cycle by Finance / RevOps.</t>
  </si>
  <si>
    <t xml:space="preserve">Governed forecast with variance-to-actuals tracking; predictive analytics integrated.</t>
  </si>
  <si>
    <t xml:space="preserve">Continuously refined autonomous forecast; ML scenario planning; outcome-tested.</t>
  </si>
  <si>
    <t xml:space="preserve">Dim</t>
  </si>
  <si>
    <t xml:space="preserve">L1
Impact Engine</t>
  </si>
  <si>
    <t xml:space="preserve">No one quantifies value for renewal; relationship-only.</t>
  </si>
  <si>
    <t xml:space="preserve">One or two CSMs build value recaps for renewals ad hoc.</t>
  </si>
  <si>
    <t xml:space="preserve">Trained CSMs articulate value evidence per account on a cadence.</t>
  </si>
  <si>
    <t xml:space="preserve">CSMs coached on value signals; QBR-driven; segmented by tier.</t>
  </si>
  <si>
    <t xml:space="preserve">System surfaces value gaps automatically; CSMs handle exceptions.</t>
  </si>
  <si>
    <t xml:space="preserve">No method to assemble value evidence for renewal.</t>
  </si>
  <si>
    <t xml:space="preserve">Ad-hoc value recaps stitched manually each renewal cycle.</t>
  </si>
  <si>
    <t xml:space="preserve">Standardized value-realization review on a renewal cadence.</t>
  </si>
  <si>
    <t xml:space="preserve">Reviewed, audited, governed across the renewal portfolio.</t>
  </si>
  <si>
    <t xml:space="preserve">Process autonomous; system runs value review; humans handle exceptions.</t>
  </si>
  <si>
    <t xml:space="preserve">Nothing instrumented for value tracking; spreadsheets and slide decks.</t>
  </si>
  <si>
    <t xml:space="preserve">Basic CS tool tracks usage; partial CRM integration.</t>
  </si>
  <si>
    <t xml:space="preserve">CS platform with health scores tied to renewal hub.</t>
  </si>
  <si>
    <t xml:space="preserve">Integrated stack — CS, CRM, product, billing, support.</t>
  </si>
  <si>
    <t xml:space="preserve">AI-native; predictive models flag renewal slippage automatically.</t>
  </si>
  <si>
    <t xml:space="preserve">No reliable outcome data; finance system only.</t>
  </si>
  <si>
    <t xml:space="preserve">Some usage data captured but stale, partial, unjoined.</t>
  </si>
  <si>
    <t xml:space="preserve">Joined customer 360 refreshed regularly; powers health.</t>
  </si>
  <si>
    <t xml:space="preserve">Near-real-time customer data graph with predictive features.</t>
  </si>
  <si>
    <t xml:space="preserve">Data substrate autonomous; quality and lineage governed.</t>
  </si>
  <si>
    <t xml:space="preserve">L2
Whitespace</t>
  </si>
  <si>
    <t xml:space="preserve">No one watches for renewal risk; surprises at renewal.</t>
  </si>
  <si>
    <t xml:space="preserve">Some CSMs flag risk reactively when an account flares up.</t>
  </si>
  <si>
    <t xml:space="preserve">Trained CSMs watch risk signals on a cadence; clear escalation.</t>
  </si>
  <si>
    <t xml:space="preserve">Risk specialists coached; segmented coverage; outcomes tracked.</t>
  </si>
  <si>
    <t xml:space="preserve">Risk team leveraged by system; humans handle complex risk.</t>
  </si>
  <si>
    <t xml:space="preserve">No risk-scoring method; risk is whatever the CSM feels.</t>
  </si>
  <si>
    <t xml:space="preserve">Health score exists in one tool but stale or ignored.</t>
  </si>
  <si>
    <t xml:space="preserve">Standardized risk-scoring model with defined triggers.</t>
  </si>
  <si>
    <t xml:space="preserve">Risk model governed, audited, A/B-tested; closed-loop.</t>
  </si>
  <si>
    <t xml:space="preserve">Risk detection and routing partially autonomous.</t>
  </si>
  <si>
    <t xml:space="preserve">No risk tooling; reviewed only when account flares.</t>
  </si>
  <si>
    <t xml:space="preserve">Basic CS health score; partial coverage; manual analysis.</t>
  </si>
  <si>
    <t xml:space="preserve">Risk-scoring tool runs across base; signals joined and visible.</t>
  </si>
  <si>
    <t xml:space="preserve">Risk model current; routes to owners with full context.</t>
  </si>
  <si>
    <t xml:space="preserve">AI-native; risk model learns from outcomes; agentic interventions.</t>
  </si>
  <si>
    <t xml:space="preserve">Risk signal data missing, stale, or unjoined.</t>
  </si>
  <si>
    <t xml:space="preserve">Partial signal data; manual joins; stale by the time used.</t>
  </si>
  <si>
    <t xml:space="preserve">Joined signal data (usage, sentiment, support); refreshed.</t>
  </si>
  <si>
    <t xml:space="preserve">Near-real-time risk signal graph with predictive features.</t>
  </si>
  <si>
    <t xml:space="preserve">Data substrate enables autonomous risk detection; lineage governed.</t>
  </si>
  <si>
    <t xml:space="preserve">L3
Account Plan</t>
  </si>
  <si>
    <t xml:space="preserve">No retention plans; everything in the CSM's head.</t>
  </si>
  <si>
    <t xml:space="preserve">Some CSMs keep retention plans in shared docs; inconsistent.</t>
  </si>
  <si>
    <t xml:space="preserve">CSMs trained to build retention plans tied to live signals.</t>
  </si>
  <si>
    <t xml:space="preserve">Plans coached against renewal outcomes; segmented by tier.</t>
  </si>
  <si>
    <t xml:space="preserve">System recommends next moves; CSMs make strategic decisions.</t>
  </si>
  <si>
    <t xml:space="preserve">No template or cadence for retention planning.</t>
  </si>
  <si>
    <t xml:space="preserve">Plans in shared docs; stale by renewal time.</t>
  </si>
  <si>
    <t xml:space="preserve">Standardized retention plan template, kept current, coached against.</t>
  </si>
  <si>
    <t xml:space="preserve">Plans auto-update from live signals; governed cadence.</t>
  </si>
  <si>
    <t xml:space="preserve">Plans prescriptive; system suggests moves; humans handle exceptions.</t>
  </si>
  <si>
    <t xml:space="preserve">Retention plans in stale Word docs or nothing.</t>
  </si>
  <si>
    <t xml:space="preserve">Plans in shared cloud docs; no live data attached.</t>
  </si>
  <si>
    <t xml:space="preserve">Plans live in CS platform with live signal references.</t>
  </si>
  <si>
    <t xml:space="preserve">Plans integrated with CRM, CS, signals; auto-refresh.</t>
  </si>
  <si>
    <t xml:space="preserve">AI-native plan system; agentic suggestions; closed-loop.</t>
  </si>
  <si>
    <t xml:space="preserve">Plans not anchored in real data; rep notes only.</t>
  </si>
  <si>
    <t xml:space="preserve">Plans reference some data manually pulled; stale.</t>
  </si>
  <si>
    <t xml:space="preserve">Plans reference current usage, health, outcome data.</t>
  </si>
  <si>
    <t xml:space="preserve">Plans pull near-real-time joined data; ML-ready.</t>
  </si>
  <si>
    <t xml:space="preserve">Data enables plan automation; quality governed.</t>
  </si>
  <si>
    <t xml:space="preserve">L4
Plays</t>
  </si>
  <si>
    <t xml:space="preserve">No retention plays; teams improvise when signals fire.</t>
  </si>
  <si>
    <t xml:space="preserve">A few CSMs run save plays; manual triggers; inconsistent.</t>
  </si>
  <si>
    <t xml:space="preserve">CSMs trained on named retention plays (save, sponsor change, usage drop).</t>
  </si>
  <si>
    <t xml:space="preserve">Specialized owners coached on play execution; outcomes tracked.</t>
  </si>
  <si>
    <t xml:space="preserve">System leverages team; humans run exception plays only.</t>
  </si>
  <si>
    <t xml:space="preserve">No defined retention play library; ad-hoc response.</t>
  </si>
  <si>
    <t xml:space="preserve">A few plays documented; manual alerts; uneven application.</t>
  </si>
  <si>
    <t xml:space="preserve">Comprehensive retention play library with triggers, owners, SLAs.</t>
  </si>
  <si>
    <t xml:space="preserve">Plays governed, audited, A/B-tested.</t>
  </si>
  <si>
    <t xml:space="preserve">System detects retention signals, routes plays, refines.</t>
  </si>
  <si>
    <t xml:space="preserve">No tooling; retention signals missed or noticed by accident.</t>
  </si>
  <si>
    <t xml:space="preserve">Manual alerts; assignments tracked in spreadsheets.</t>
  </si>
  <si>
    <t xml:space="preserve">Systems detect retention triggers and route plays with context.</t>
  </si>
  <si>
    <t xml:space="preserve">Automated trigger-to-action; outcomes tracked end-to-end.</t>
  </si>
  <si>
    <t xml:space="preserve">Agentic workflows initiate retention plays; closed-loop learning.</t>
  </si>
  <si>
    <t xml:space="preserve">Retention signal data not joined; triggers undetectable.</t>
  </si>
  <si>
    <t xml:space="preserve">Triggers detected manually after the fact.</t>
  </si>
  <si>
    <t xml:space="preserve">Joined signal data; retention triggers detectable in time.</t>
  </si>
  <si>
    <t xml:space="preserve">Near-real-time signal graph with predictive triggering.</t>
  </si>
  <si>
    <t xml:space="preserve">System learns which plays land on which retention signals.</t>
  </si>
  <si>
    <t xml:space="preserve">L5
Execution</t>
  </si>
  <si>
    <t xml:space="preserve">No coaching on renewal motion; CSMs improvise.</t>
  </si>
  <si>
    <t xml:space="preserve">Some CSMs follow a method; uneven skill at renewals.</t>
  </si>
  <si>
    <t xml:space="preserve">All CSMs coached on stage-gated renewal motion; certified.</t>
  </si>
  <si>
    <t xml:space="preserve">Renewal coaching tied to live data; segmented by tier.</t>
  </si>
  <si>
    <t xml:space="preserve">System recommends next-best-action per stage; CSMs handle complex saves.</t>
  </si>
  <si>
    <t xml:space="preserve">No defined renewal motion or stage gates.</t>
  </si>
  <si>
    <t xml:space="preserve">Loose renewal stages; data captured inconsistently.</t>
  </si>
  <si>
    <t xml:space="preserve">Standardized renewal motion with stage gates; instrumented.</t>
  </si>
  <si>
    <t xml:space="preserve">Renewal motion measured end-to-end; A/B-tested; coached against outcomes.</t>
  </si>
  <si>
    <t xml:space="preserve">Renewal motion partially autonomous; system runs routine.</t>
  </si>
  <si>
    <t xml:space="preserve">No CRM stages for renewals; tracked in spreadsheets.</t>
  </si>
  <si>
    <t xml:space="preserve">Basic CRM renewal stages; manual approval and tracking.</t>
  </si>
  <si>
    <t xml:space="preserve">CRM / CS / e-sign integrated for renewals end-to-end.</t>
  </si>
  <si>
    <t xml:space="preserve">Best-of-breed renewal stack; live forecast feed.</t>
  </si>
  <si>
    <t xml:space="preserve">AI-native renewal motion; agentic execution.</t>
  </si>
  <si>
    <t xml:space="preserve">Renewal pipeline data unreliable or incomplete.</t>
  </si>
  <si>
    <t xml:space="preserve">Renewal pipeline data exists but stale or disputed.</t>
  </si>
  <si>
    <t xml:space="preserve">Renewal pipeline data trustworthy and current; powers forecast.</t>
  </si>
  <si>
    <t xml:space="preserve">Near-real-time renewal pipeline; predictive forecast.</t>
  </si>
  <si>
    <t xml:space="preserve">Data substrate for autonomous renewal decisions.</t>
  </si>
  <si>
    <t xml:space="preserve">L6
Incentives</t>
  </si>
  <si>
    <t xml:space="preserve">CSMs unsure how retention behavior maps to comp.</t>
  </si>
  <si>
    <t xml:space="preserve">Some retention metrics tied to comp but unclear or disputed.</t>
  </si>
  <si>
    <t xml:space="preserve">CSMs trained on comp model; clear line behavior-to-payout.</t>
  </si>
  <si>
    <t xml:space="preserve">Retention comp coached against performance; reinforced via deal desk.</t>
  </si>
  <si>
    <t xml:space="preserve">Continuous comp tuning from retention outcome data.</t>
  </si>
  <si>
    <t xml:space="preserve">Comp doesn't reward retention; CSMs focus elsewhere.</t>
  </si>
  <si>
    <t xml:space="preserve">Some retention credit exists but partial; attribution disputed.</t>
  </si>
  <si>
    <t xml:space="preserve">Comp engineered for GRR, on-time renewals, save rate.</t>
  </si>
  <si>
    <t xml:space="preserve">Retention comp governed, audited, integrated with performance management.</t>
  </si>
  <si>
    <t xml:space="preserve">Comp model continuously refined from retention outcomes.</t>
  </si>
  <si>
    <t xml:space="preserve">Retention comp calculated manually in spreadsheets.</t>
  </si>
  <si>
    <t xml:space="preserve">Basic comp tool; partial integration with CS metrics.</t>
  </si>
  <si>
    <t xml:space="preserve">Integrated comp platform tied to retention metrics.</t>
  </si>
  <si>
    <t xml:space="preserve">Retention comp metrics live; tied to dashboards.</t>
  </si>
  <si>
    <t xml:space="preserve">AI-native comp engine recommends retention model tuning.</t>
  </si>
  <si>
    <t xml:space="preserve">Retention attribution data dirty or contested.</t>
  </si>
  <si>
    <t xml:space="preserve">Attribution exists but disputed; manual reconciliation.</t>
  </si>
  <si>
    <t xml:space="preserve">Retention attribution clean; single source of truth.</t>
  </si>
  <si>
    <t xml:space="preserve">Retention attribution current and trusted; powers dashboards.</t>
  </si>
  <si>
    <t xml:space="preserve">Data substrate enables continuous retention comp optimization.</t>
  </si>
  <si>
    <t xml:space="preserve">L7
Governance</t>
  </si>
  <si>
    <t xml:space="preserve">No named retention owner; metrics not trusted.</t>
  </si>
  <si>
    <t xml:space="preserve">Informal retention owner; occasional reviews; static reports.</t>
  </si>
  <si>
    <t xml:space="preserve">Clear retention owner; regular cadence; trusted dashboard.</t>
  </si>
  <si>
    <t xml:space="preserve">Exec-level retention governance; segment owners drive numbers.</t>
  </si>
  <si>
    <t xml:space="preserve">Board-visible retention program with predictive metrics.</t>
  </si>
  <si>
    <t xml:space="preserve">No cadence for retention reviews; metrics not reported.</t>
  </si>
  <si>
    <t xml:space="preserve">Ad-hoc retention reviews; reports lag the action.</t>
  </si>
  <si>
    <t xml:space="preserve">Regular retention cadence (forecast, risk, post-renewal); followed.</t>
  </si>
  <si>
    <t xml:space="preserve">Exec retention cadence; integrated with broader business reviews.</t>
  </si>
  <si>
    <t xml:space="preserve">Retention cadence partially autonomous; system surfaces issues.</t>
  </si>
  <si>
    <t xml:space="preserve">No retention dashboards; metrics in spreadsheets after the fact.</t>
  </si>
  <si>
    <t xml:space="preserve">Basic retention dashboards but stale or disputed.</t>
  </si>
  <si>
    <t xml:space="preserve">Trusted retention dashboards exist and update reliably.</t>
  </si>
  <si>
    <t xml:space="preserve">Live exec retention dashboards integrated across systems.</t>
  </si>
  <si>
    <t xml:space="preserve">AI-native retention dashboards; predictive metrics flag reversals.</t>
  </si>
  <si>
    <t xml:space="preserve">Retention metrics not trusted; data dirty or disputed.</t>
  </si>
  <si>
    <t xml:space="preserve">Some retention metrics tracked but disputed by stakeholders.</t>
  </si>
  <si>
    <t xml:space="preserve">Retention metrics (GRR, at-risk $) trusted at department level.</t>
  </si>
  <si>
    <t xml:space="preserve">Retention metrics trusted at exec level; current and joined.</t>
  </si>
  <si>
    <t xml:space="preserve">Retention metrics trusted at board level; predictive.</t>
  </si>
  <si>
    <t xml:space="preserve">No one quantifies value per unit; pure feature pitch.</t>
  </si>
  <si>
    <t xml:space="preserve">One or two AEs build value cases ad hoc per deal.</t>
  </si>
  <si>
    <t xml:space="preserve">Trained AEs articulate value per seat / token / run on cadence.</t>
  </si>
  <si>
    <t xml:space="preserve">AEs coached on value signals; segmented by expansion motion.</t>
  </si>
  <si>
    <t xml:space="preserve">System surfaces value automatically; AEs handle high-value moves.</t>
  </si>
  <si>
    <t xml:space="preserve">No method to show value justifies expansion.</t>
  </si>
  <si>
    <t xml:space="preserve">Ad-hoc value notes stitched per expansion conversation.</t>
  </si>
  <si>
    <t xml:space="preserve">Standardized value-per-unit review on a cadence.</t>
  </si>
  <si>
    <t xml:space="preserve">Reviewed, audited, governed across expansion portfolio.</t>
  </si>
  <si>
    <t xml:space="preserve">Process autonomous; system runs review; humans handle exceptions.</t>
  </si>
  <si>
    <t xml:space="preserve">Nothing instrumented for usage-value tracking; spreadsheets only.</t>
  </si>
  <si>
    <t xml:space="preserve">Basic product analytics; partial CRM integration.</t>
  </si>
  <si>
    <t xml:space="preserve">Value tooling tied to accounts; integrated with CRM and CPQ.</t>
  </si>
  <si>
    <t xml:space="preserve">Integrated stack — product, CRM, billing, CPQ; near-real-time.</t>
  </si>
  <si>
    <t xml:space="preserve">AI-native; predictive models flag expansion-readiness automatically.</t>
  </si>
  <si>
    <t xml:space="preserve">Usage-vs-entitlement data missing or unjoined.</t>
  </si>
  <si>
    <t xml:space="preserve">Partial usage data; manual joins; stale.</t>
  </si>
  <si>
    <t xml:space="preserve">Clean joined data (active vs licensed, usage per unit, outcomes).</t>
  </si>
  <si>
    <t xml:space="preserve">Near-real-time and broad coverage; ML-ready features.</t>
  </si>
  <si>
    <t xml:space="preserve">Live, complete, governed; substrate for autonomous decisions.</t>
  </si>
  <si>
    <t xml:space="preserve">No one ranks accounts for expansion headroom.</t>
  </si>
  <si>
    <t xml:space="preserve">Some AEs eyeball headroom ad hoc; reactive to customer ask.</t>
  </si>
  <si>
    <t xml:space="preserve">AEs trained to rank seat / usage headroom on a cadence.</t>
  </si>
  <si>
    <t xml:space="preserve">Specialized AMs coached on headroom-driven motion.</t>
  </si>
  <si>
    <t xml:space="preserve">System surfaces headroom; AEs focus on top-priority moves.</t>
  </si>
  <si>
    <t xml:space="preserve">No repeatable method to detect or score expansion headroom.</t>
  </si>
  <si>
    <t xml:space="preserve">Manual whitespace analysis once a quarter; partial.</t>
  </si>
  <si>
    <t xml:space="preserve">Standardized whitespace scoring documented and applied.</t>
  </si>
  <si>
    <t xml:space="preserve">Whitespace scoring governed, audited, A/B-tested.</t>
  </si>
  <si>
    <t xml:space="preserve">Detection and routing partially autonomous.</t>
  </si>
  <si>
    <t xml:space="preserve">No whitespace tool; eyeballing only.</t>
  </si>
  <si>
    <t xml:space="preserve">Basic pacing dashboard or single-tool view.</t>
  </si>
  <si>
    <t xml:space="preserve">Whitespace tool surfaces headroom; sortable across base.</t>
  </si>
  <si>
    <t xml:space="preserve">Best-of-breed stack with real-time signals; auto-routing.</t>
  </si>
  <si>
    <t xml:space="preserve">AI-native; predictive whitespace models; agentic plays.</t>
  </si>
  <si>
    <t xml:space="preserve">Entitlement / usage data missing or unjoined.</t>
  </si>
  <si>
    <t xml:space="preserve">Partial data; manual joins; stale.</t>
  </si>
  <si>
    <t xml:space="preserve">Joined entitlement, usage, product-fit data refreshed regularly.</t>
  </si>
  <si>
    <t xml:space="preserve">Near-real-time signal graph with predictive features.</t>
  </si>
  <si>
    <t xml:space="preserve">Live, complete data substrate; governed quality.</t>
  </si>
  <si>
    <t xml:space="preserve">No expansion plans; planning in heads.</t>
  </si>
  <si>
    <t xml:space="preserve">Some AEs keep expansion plans in shared docs; inconsistent.</t>
  </si>
  <si>
    <t xml:space="preserve">AEs trained to build expansion plans tied to live signals.</t>
  </si>
  <si>
    <t xml:space="preserve">Plans coached against expansion outcomes; segmented by motion.</t>
  </si>
  <si>
    <t xml:space="preserve">System suggests next moves; AEs make strategic decisions.</t>
  </si>
  <si>
    <t xml:space="preserve">No template or cadence for expansion planning.</t>
  </si>
  <si>
    <t xml:space="preserve">Plans in shared docs; stale by the time used.</t>
  </si>
  <si>
    <t xml:space="preserve">Standardized expansion plan template, kept current.</t>
  </si>
  <si>
    <t xml:space="preserve">Plans auto-update from live signals; governed.</t>
  </si>
  <si>
    <t xml:space="preserve">Plans prescriptive; system recommends moves; humans handle exceptions.</t>
  </si>
  <si>
    <t xml:space="preserve">Expansion plans in stale Word docs or nothing.</t>
  </si>
  <si>
    <t xml:space="preserve">Plans live in CRM with live signal references.</t>
  </si>
  <si>
    <t xml:space="preserve">Plans integrated with CRM and signals; auto-refresh.</t>
  </si>
  <si>
    <t xml:space="preserve">Plans reference current usage, outcome, stakeholder data.</t>
  </si>
  <si>
    <t xml:space="preserve">No expansion plays; teams improvise when customer asks.</t>
  </si>
  <si>
    <t xml:space="preserve">A few AEs run a few plays; manual triggers; inconsistent.</t>
  </si>
  <si>
    <t xml:space="preserve">AEs trained on named expansion plays (commit, overage, role change).</t>
  </si>
  <si>
    <t xml:space="preserve">Specialized AEs coached on play execution; outcomes tracked.</t>
  </si>
  <si>
    <t xml:space="preserve">No defined expansion play library.</t>
  </si>
  <si>
    <t xml:space="preserve">Comprehensive expansion play library with triggers and SLAs.</t>
  </si>
  <si>
    <t xml:space="preserve">Plays governed and A/B-tested.</t>
  </si>
  <si>
    <t xml:space="preserve">System detects expansion signals, routes plays, refines.</t>
  </si>
  <si>
    <t xml:space="preserve">No tooling; expansion signals missed.</t>
  </si>
  <si>
    <t xml:space="preserve">Systems detect expansion triggers and route plays with context.</t>
  </si>
  <si>
    <t xml:space="preserve">Agentic workflows initiate expansion plays; closed-loop learning.</t>
  </si>
  <si>
    <t xml:space="preserve">Expansion signal data not joined.</t>
  </si>
  <si>
    <t xml:space="preserve">Joined signal data; expansion triggers detectable in time.</t>
  </si>
  <si>
    <t xml:space="preserve">System learns which plays land on which expansion signals.</t>
  </si>
  <si>
    <t xml:space="preserve">No coaching on usage-up motion; AEs improvise.</t>
  </si>
  <si>
    <t xml:space="preserve">Some AEs follow a method; uneven skill at expansion.</t>
  </si>
  <si>
    <t xml:space="preserve">All AEs coached on stage-gated usage-up motion; certified.</t>
  </si>
  <si>
    <t xml:space="preserve">Motion coaching tied to live data; segmented by tier.</t>
  </si>
  <si>
    <t xml:space="preserve">System recommends next-best-action per stage; AEs handle complex deals.</t>
  </si>
  <si>
    <t xml:space="preserve">No defined usage-up motion.</t>
  </si>
  <si>
    <t xml:space="preserve">Loose stages; data captured inconsistently.</t>
  </si>
  <si>
    <t xml:space="preserve">Standardized usage-up motion with stage gates; instrumented.</t>
  </si>
  <si>
    <t xml:space="preserve">Motion measured end-to-end; A/B-tested.</t>
  </si>
  <si>
    <t xml:space="preserve">Motion partially autonomous; system runs routine.</t>
  </si>
  <si>
    <t xml:space="preserve">No CRM stages for expansion; tracked in spreadsheets.</t>
  </si>
  <si>
    <t xml:space="preserve">Basic CRM stages; manual approval.</t>
  </si>
  <si>
    <t xml:space="preserve">CRM / CPQ / e-sign integrated; usage-aware CPQ.</t>
  </si>
  <si>
    <t xml:space="preserve">Best-of-breed expansion stack; live forecast feed.</t>
  </si>
  <si>
    <t xml:space="preserve">AI-native expansion motion; agentic execution.</t>
  </si>
  <si>
    <t xml:space="preserve">Expansion pipeline data unreliable or incomplete.</t>
  </si>
  <si>
    <t xml:space="preserve">Pipeline data exists but stale or disputed.</t>
  </si>
  <si>
    <t xml:space="preserve">Expansion pipeline data trustworthy and current.</t>
  </si>
  <si>
    <t xml:space="preserve">Near-real-time pipeline graph with predictive forecast.</t>
  </si>
  <si>
    <t xml:space="preserve">Data substrate for autonomous expansion decisions.</t>
  </si>
  <si>
    <t xml:space="preserve">AEs unsure how usage growth maps to comp.</t>
  </si>
  <si>
    <t xml:space="preserve">Some expansion metrics tied to comp but unclear or disputed.</t>
  </si>
  <si>
    <t xml:space="preserve">AEs trained on comp model; clear line behavior-to-payout.</t>
  </si>
  <si>
    <t xml:space="preserve">Expansion comp coached against performance.</t>
  </si>
  <si>
    <t xml:space="preserve">Continuous comp tuning from expansion outcome data.</t>
  </si>
  <si>
    <t xml:space="preserve">Comp ignores usage growth; rewards new logos only.</t>
  </si>
  <si>
    <t xml:space="preserve">Some expansion credit exists but partial; attribution disputed.</t>
  </si>
  <si>
    <t xml:space="preserve">Comp engineered for usage growth, tier-up, cross-sell.</t>
  </si>
  <si>
    <t xml:space="preserve">Expansion comp governed, audited, integrated.</t>
  </si>
  <si>
    <t xml:space="preserve">Comp model continuously refined from expansion outcomes.</t>
  </si>
  <si>
    <t xml:space="preserve">Expansion comp calculated manually.</t>
  </si>
  <si>
    <t xml:space="preserve">Basic comp tool; partial CRM integration.</t>
  </si>
  <si>
    <t xml:space="preserve">Integrated comp platform tied to expansion metrics.</t>
  </si>
  <si>
    <t xml:space="preserve">Expansion comp metrics live and current.</t>
  </si>
  <si>
    <t xml:space="preserve">AI-native comp engine recommends expansion model tuning.</t>
  </si>
  <si>
    <t xml:space="preserve">Expansion attribution data dirty or contested.</t>
  </si>
  <si>
    <t xml:space="preserve">Expansion attribution clean; single source of truth.</t>
  </si>
  <si>
    <t xml:space="preserve">Attribution current and trusted; powers dashboards.</t>
  </si>
  <si>
    <t xml:space="preserve">Data enables continuous expansion comp optimization.</t>
  </si>
  <si>
    <t xml:space="preserve">No named expansion owner.</t>
  </si>
  <si>
    <t xml:space="preserve">Informal expansion owner; occasional reviews; static reports.</t>
  </si>
  <si>
    <t xml:space="preserve">Clear expansion owner; regular cadence; trusted dashboard.</t>
  </si>
  <si>
    <t xml:space="preserve">Exec-level expansion governance; segment owners drive.</t>
  </si>
  <si>
    <t xml:space="preserve">Board-visible expansion program with predictive metrics.</t>
  </si>
  <si>
    <t xml:space="preserve">No cadence for expansion reviews.</t>
  </si>
  <si>
    <t xml:space="preserve">Ad-hoc expansion reviews; reports lag the action.</t>
  </si>
  <si>
    <t xml:space="preserve">Regular cadence (consumption, commit utilization, forecast).</t>
  </si>
  <si>
    <t xml:space="preserve">Exec cadence; integrated with business reviews.</t>
  </si>
  <si>
    <t xml:space="preserve">Cadence partially autonomous; system surfaces issues.</t>
  </si>
  <si>
    <t xml:space="preserve">No expansion dashboards.</t>
  </si>
  <si>
    <t xml:space="preserve">Basic expansion dashboards but stale or disputed.</t>
  </si>
  <si>
    <t xml:space="preserve">Trusted expansion dashboards update reliably.</t>
  </si>
  <si>
    <t xml:space="preserve">Live exec expansion dashboards integrated across systems.</t>
  </si>
  <si>
    <t xml:space="preserve">AI-native expansion dashboards; predictive metrics.</t>
  </si>
  <si>
    <t xml:space="preserve">Expansion metrics not trusted.</t>
  </si>
  <si>
    <t xml:space="preserve">Some expansion metrics tracked but disputed.</t>
  </si>
  <si>
    <t xml:space="preserve">Expansion metrics trusted at department level.</t>
  </si>
  <si>
    <t xml:space="preserve">Expansion metrics trusted at exec level; current and joined.</t>
  </si>
  <si>
    <t xml:space="preserve">Expansion metrics trusted at board level; predictive.</t>
  </si>
  <si>
    <t xml:space="preserve">Price set on cost-plus or competitor; no value anchoring.</t>
  </si>
  <si>
    <t xml:space="preserve">Some reps reference value at quote time; inconsistent.</t>
  </si>
  <si>
    <t xml:space="preserve">Reps and deal desk trained on value-based pricing.</t>
  </si>
  <si>
    <t xml:space="preserve">Reps coached on value signals; segment owners drive pricing.</t>
  </si>
  <si>
    <t xml:space="preserve">System recommends price floors; reps focus on strategic deals.</t>
  </si>
  <si>
    <t xml:space="preserve">No method to anchor price on realized value.</t>
  </si>
  <si>
    <t xml:space="preserve">Some value rationales in slides per deal; inconsistent.</t>
  </si>
  <si>
    <t xml:space="preserve">Standardized value-based pricing method at quote time.</t>
  </si>
  <si>
    <t xml:space="preserve">Method reviewed, audited, governed across segments.</t>
  </si>
  <si>
    <t xml:space="preserve">Method partially autonomous; system suggests floors per segment.</t>
  </si>
  <si>
    <t xml:space="preserve">No CPQ value tooling; spreadsheet quotes.</t>
  </si>
  <si>
    <t xml:space="preserve">Basic CPQ; manual value evidence at quote time.</t>
  </si>
  <si>
    <t xml:space="preserve">CPQ pulls realized-value evidence at quote time.</t>
  </si>
  <si>
    <t xml:space="preserve">Integrated value-pricing tooling; near-real-time evidence.</t>
  </si>
  <si>
    <t xml:space="preserve">AI-native pricing engine recommends list and floor per segment.</t>
  </si>
  <si>
    <t xml:space="preserve">Value-realization data not joined to deals.</t>
  </si>
  <si>
    <t xml:space="preserve">Some value data manually pulled into deals; stale.</t>
  </si>
  <si>
    <t xml:space="preserve">Value data joined to deal records; refreshed regularly.</t>
  </si>
  <si>
    <t xml:space="preserve">Near-real-time value data with predictive features.</t>
  </si>
  <si>
    <t xml:space="preserve">Data substrate enables autonomous price recommendations.</t>
  </si>
  <si>
    <t xml:space="preserve">No one watches for leakage; effective price drift invisible.</t>
  </si>
  <si>
    <t xml:space="preserve">Some analysts look at pricing data ad hoc.</t>
  </si>
  <si>
    <t xml:space="preserve">Pricing analyst / deal desk watches leakage on a cadence.</t>
  </si>
  <si>
    <t xml:space="preserve">Specialized pricing team coached on leakage detection.</t>
  </si>
  <si>
    <t xml:space="preserve">System surfaces leakage; team focuses on strategic re-pricing.</t>
  </si>
  <si>
    <t xml:space="preserve">No leakage-detection method.</t>
  </si>
  <si>
    <t xml:space="preserve">Manual leakage analysis once a quarter; partial.</t>
  </si>
  <si>
    <t xml:space="preserve">Standardized leakage scoring documented and applied.</t>
  </si>
  <si>
    <t xml:space="preserve">Leakage detection governed, audited, A/B-tested.</t>
  </si>
  <si>
    <t xml:space="preserve">No pricing leakage tooling.</t>
  </si>
  <si>
    <t xml:space="preserve">Basic price reports; partial coverage.</t>
  </si>
  <si>
    <t xml:space="preserve">Leakage scoring tool runs across base; sortable.</t>
  </si>
  <si>
    <t xml:space="preserve">Best-of-breed pricing analytics with real-time signals.</t>
  </si>
  <si>
    <t xml:space="preserve">AI-native; predictive leakage models; agentic re-pricing.</t>
  </si>
  <si>
    <t xml:space="preserve">Deal-level pricing data missing or unjoined.</t>
  </si>
  <si>
    <t xml:space="preserve">Partial pricing data; manual joins; stale.</t>
  </si>
  <si>
    <t xml:space="preserve">Joined deal data (price, discount, segment, win / loss).</t>
  </si>
  <si>
    <t xml:space="preserve">Near-real-time pricing data graph; predictive features.</t>
  </si>
  <si>
    <t xml:space="preserve">Live, complete pricing data substrate; governed.</t>
  </si>
  <si>
    <t xml:space="preserve">No segment-level pricing strategy; one global price list.</t>
  </si>
  <si>
    <t xml:space="preserve">Some segment owners keep pricing rules in slides.</t>
  </si>
  <si>
    <t xml:space="preserve">Segment owners trained to set per-segment strategy with floors.</t>
  </si>
  <si>
    <t xml:space="preserve">Strategy coached against win / loss outcomes; segmented.</t>
  </si>
  <si>
    <t xml:space="preserve">System recommends strategy per segment; owners decide.</t>
  </si>
  <si>
    <t xml:space="preserve">No template or cadence for pricing strategy.</t>
  </si>
  <si>
    <t xml:space="preserve">Pricing rules in slides; not enforced at quote.</t>
  </si>
  <si>
    <t xml:space="preserve">Standardized strategy template per segment, kept current.</t>
  </si>
  <si>
    <t xml:space="preserve">Strategies auto-update from live signals; governed.</t>
  </si>
  <si>
    <t xml:space="preserve">Strategy prescriptive; system recommends targets per segment.</t>
  </si>
  <si>
    <t xml:space="preserve">Pricing strategy in slides or nothing.</t>
  </si>
  <si>
    <t xml:space="preserve">Strategy in shared docs; no CPQ enforcement.</t>
  </si>
  <si>
    <t xml:space="preserve">Strategy integrated with CPQ and approval workflows.</t>
  </si>
  <si>
    <t xml:space="preserve">Strategy integrated with live elasticity data.</t>
  </si>
  <si>
    <t xml:space="preserve">AI-native; agentic strategy adjustments per segment.</t>
  </si>
  <si>
    <t xml:space="preserve">Strategy not anchored in real data; gut-feel.</t>
  </si>
  <si>
    <t xml:space="preserve">Strategy references some data manually; stale.</t>
  </si>
  <si>
    <t xml:space="preserve">Strategy references current win / loss and elasticity data.</t>
  </si>
  <si>
    <t xml:space="preserve">Strategy pulls near-real-time joined data; ML-ready.</t>
  </si>
  <si>
    <t xml:space="preserve">Data enables strategy automation; quality governed.</t>
  </si>
  <si>
    <t xml:space="preserve">No pricing plays; case-by-case decisions.</t>
  </si>
  <si>
    <t xml:space="preserve">A few deal desk plays; manual approval flow.</t>
  </si>
  <si>
    <t xml:space="preserve">Deal desk trained on named pricing plays (re-price, escalate, re-tier).</t>
  </si>
  <si>
    <t xml:space="preserve">Specialized owners coached on pricing play execution.</t>
  </si>
  <si>
    <t xml:space="preserve">System leverages team; humans handle exception plays.</t>
  </si>
  <si>
    <t xml:space="preserve">No defined pricing play library.</t>
  </si>
  <si>
    <t xml:space="preserve">Manual approval rules for some discounts.</t>
  </si>
  <si>
    <t xml:space="preserve">Comprehensive pricing play library with triggers and SLAs.</t>
  </si>
  <si>
    <t xml:space="preserve">System detects pricing triggers, routes plays, refines.</t>
  </si>
  <si>
    <t xml:space="preserve">No tooling; pricing decisions case-by-case.</t>
  </si>
  <si>
    <t xml:space="preserve">Basic discount approvals in CPQ.</t>
  </si>
  <si>
    <t xml:space="preserve">Systems detect pricing triggers and route plays.</t>
  </si>
  <si>
    <t xml:space="preserve">Agentic workflows initiate pricing plays; closed-loop learning.</t>
  </si>
  <si>
    <t xml:space="preserve">Pricing trigger data not joined.</t>
  </si>
  <si>
    <t xml:space="preserve">Joined signal data; pricing triggers detectable in time.</t>
  </si>
  <si>
    <t xml:space="preserve">System learns which plays land on which pricing signals.</t>
  </si>
  <si>
    <t xml:space="preserve">No coaching on pricing motion; reps improvise.</t>
  </si>
  <si>
    <t xml:space="preserve">Some reps follow a method; uneven skill at price defense.</t>
  </si>
  <si>
    <t xml:space="preserve">All reps coached on stage-gated pricing motion; certified.</t>
  </si>
  <si>
    <t xml:space="preserve">Pricing coaching tied to live data; segmented by tier.</t>
  </si>
  <si>
    <t xml:space="preserve">System recommends next-best-action per stage.</t>
  </si>
  <si>
    <t xml:space="preserve">No defined pricing motion.</t>
  </si>
  <si>
    <t xml:space="preserve">Loose stages; approvals slow and inconsistent.</t>
  </si>
  <si>
    <t xml:space="preserve">Standardized pricing motion with stage gates and guardrails.</t>
  </si>
  <si>
    <t xml:space="preserve">Motion partially autonomous; system runs routine approvals.</t>
  </si>
  <si>
    <t xml:space="preserve">No CPQ; quotes in spreadsheets.</t>
  </si>
  <si>
    <t xml:space="preserve">Basic CPQ; manual approval.</t>
  </si>
  <si>
    <t xml:space="preserve">CPQ supports pricing motion end-to-end with audit trail.</t>
  </si>
  <si>
    <t xml:space="preserve">Best-of-breed pricing stack; live forecast feed.</t>
  </si>
  <si>
    <t xml:space="preserve">AI-native pricing motion; agentic execution.</t>
  </si>
  <si>
    <t xml:space="preserve">Pricing pipeline data unreliable or incomplete.</t>
  </si>
  <si>
    <t xml:space="preserve">Pricing pipeline data exists but stale or disputed.</t>
  </si>
  <si>
    <t xml:space="preserve">Pricing pipeline data trustworthy and current.</t>
  </si>
  <si>
    <t xml:space="preserve">Near-real-time pricing pipeline; predictive forecast.</t>
  </si>
  <si>
    <t xml:space="preserve">Data substrate for autonomous pricing decisions.</t>
  </si>
  <si>
    <t xml:space="preserve">Reps unsure how price discipline maps to comp.</t>
  </si>
  <si>
    <t xml:space="preserve">Some pricing metrics tied to comp but unclear.</t>
  </si>
  <si>
    <t xml:space="preserve">Reps trained on comp model; clear line discipline-to-payout.</t>
  </si>
  <si>
    <t xml:space="preserve">Pricing comp coached against ASP and tier mix.</t>
  </si>
  <si>
    <t xml:space="preserve">Continuous comp tuning from pricing outcomes.</t>
  </si>
  <si>
    <t xml:space="preserve">Comp rewards volume only; encourages discounting to close.</t>
  </si>
  <si>
    <t xml:space="preserve">Some pricing credit exists but unclear; mixed signals.</t>
  </si>
  <si>
    <t xml:space="preserve">Comp engineered for ASP, effective price, tier mix.</t>
  </si>
  <si>
    <t xml:space="preserve">Pricing comp governed, audited, integrated with performance management.</t>
  </si>
  <si>
    <t xml:space="preserve">Comp model continuously refined from pricing outcomes.</t>
  </si>
  <si>
    <t xml:space="preserve">Pricing comp calculated manually.</t>
  </si>
  <si>
    <t xml:space="preserve">Integrated comp platform tied to pricing metrics.</t>
  </si>
  <si>
    <t xml:space="preserve">Pricing comp metrics live and current.</t>
  </si>
  <si>
    <t xml:space="preserve">AI-native comp engine recommends pricing model tuning.</t>
  </si>
  <si>
    <t xml:space="preserve">Pricing attribution data dirty or contested.</t>
  </si>
  <si>
    <t xml:space="preserve">Pricing attribution clean; single source of truth.</t>
  </si>
  <si>
    <t xml:space="preserve">Data enables continuous pricing comp optimization.</t>
  </si>
  <si>
    <t xml:space="preserve">No named pricing owner; pricing health invisible.</t>
  </si>
  <si>
    <t xml:space="preserve">Informal pricing owner; ad-hoc reviews.</t>
  </si>
  <si>
    <t xml:space="preserve">Clear pricing-strategy owner / deal-desk lead; cadence; dashboard.</t>
  </si>
  <si>
    <t xml:space="preserve">Exec-level pricing committee; segment owners drive.</t>
  </si>
  <si>
    <t xml:space="preserve">Board-visible pricing program with predictive metrics.</t>
  </si>
  <si>
    <t xml:space="preserve">No cadence for pricing reviews.</t>
  </si>
  <si>
    <t xml:space="preserve">Ad-hoc pricing reviews; reports lag the action.</t>
  </si>
  <si>
    <t xml:space="preserve">Regular pricing cadence (committee, governance).</t>
  </si>
  <si>
    <t xml:space="preserve">Exec cadence; integrated with broader business reviews.</t>
  </si>
  <si>
    <t xml:space="preserve">No pricing dashboards.</t>
  </si>
  <si>
    <t xml:space="preserve">Basic pricing dashboards but stale or disputed.</t>
  </si>
  <si>
    <t xml:space="preserve">Trusted pricing dashboards update reliably.</t>
  </si>
  <si>
    <t xml:space="preserve">Live exec pricing dashboards integrated across systems.</t>
  </si>
  <si>
    <t xml:space="preserve">AI-native pricing dashboards; predictive metrics flag shifts.</t>
  </si>
  <si>
    <t xml:space="preserve">Pricing metrics not trusted.</t>
  </si>
  <si>
    <t xml:space="preserve">Some pricing metrics tracked but disputed.</t>
  </si>
  <si>
    <t xml:space="preserve">Pricing metrics (ASP, discount) trusted at department level.</t>
  </si>
  <si>
    <t xml:space="preserve">Pricing metrics trusted at exec level; current and joined.</t>
  </si>
  <si>
    <t xml:space="preserve">Pricing metrics trusted at board level; predictive.</t>
  </si>
  <si>
    <t xml:space="preserve">THE 7 LEVERS — PRD reference</t>
  </si>
  <si>
    <t xml:space="preserve">Weight</t>
  </si>
  <si>
    <t xml:space="preserve">What this lever does</t>
  </si>
  <si>
    <t xml:space="preserve">Prove the value an account is getting today.</t>
  </si>
  <si>
    <t xml:space="preserve">Surface headroom and risk across the base.</t>
  </si>
  <si>
    <t xml:space="preserve">Plan per account against live signals.</t>
  </si>
  <si>
    <t xml:space="preserve">Run the right play when a signal fires.</t>
  </si>
  <si>
    <t xml:space="preserve">Execute the motion stage-by-stage.</t>
  </si>
  <si>
    <t xml:space="preserve">Comp the right outcomes.</t>
  </si>
  <si>
    <t xml:space="preserve">Govern the program — forecast, risk, post-mortem.</t>
  </si>
  <si>
    <t xml:space="preserve">NRR Semantics — confirm or edit</t>
  </si>
  <si>
    <t xml:space="preserve">Classification rules behind the NRR calculator. Carried from your existing NRR_Calculations.xlsx.</t>
  </si>
  <si>
    <t xml:space="preserve">DEFINITIONS</t>
  </si>
  <si>
    <t xml:space="preserve">Definition (per period)</t>
  </si>
  <si>
    <t xml:space="preserve">Starting period base</t>
  </si>
  <si>
    <t xml:space="preserve">Established from the 2 months prior to each measured period.</t>
  </si>
  <si>
    <t xml:space="preserve">Expansion</t>
  </si>
  <si>
    <t xml:space="preserve">Positive recurring delta within existing accounts.</t>
  </si>
  <si>
    <t xml:space="preserve">Contraction</t>
  </si>
  <si>
    <t xml:space="preserve">Churn</t>
  </si>
  <si>
    <t xml:space="preserve">KEY DECISIONS (confirm)</t>
  </si>
  <si>
    <t xml:space="preserve">#</t>
  </si>
  <si>
    <t xml:space="preserve">Options</t>
  </si>
  <si>
    <t xml:space="preserve">Your answer</t>
  </si>
  <si>
    <t xml:space="preserve">Q1</t>
  </si>
  <si>
    <t xml:space="preserve">Starting base for a period?</t>
  </si>
  <si>
    <t xml:space="preserve">(a) Both baseline months required; starting MRR = average  (b) Both required; starting MRR = most recent  (c) Other</t>
  </si>
  <si>
    <t xml:space="preserve">a</t>
  </si>
  <si>
    <t xml:space="preserve">Q2</t>
  </si>
  <si>
    <t xml:space="preserve">Cohort entry — mid-period new logos?</t>
  </si>
  <si>
    <t xml:space="preserve">(a) Must be active in BOTH baseline months  (b) Active in either month  (c) Other</t>
  </si>
  <si>
    <t xml:space="preserve">Q3</t>
  </si>
  <si>
    <t xml:space="preserve">Churn threshold (vs contraction)?</t>
  </si>
  <si>
    <t xml:space="preserve">(a) Recurring revenue reaches exactly $0  (b) Falls below floor $X  (c) Other</t>
  </si>
  <si>
    <t xml:space="preserve">Q4</t>
  </si>
  <si>
    <t xml:space="preserve">Small downgrade — contraction or churn?</t>
  </si>
  <si>
    <t xml:space="preserve">(a) Contraction (still a customer)  (b) Churn if below floor  (c) Other</t>
  </si>
  <si>
    <t xml:space="preserve">Q5</t>
  </si>
  <si>
    <t xml:space="preserve">Net at account level, or separate per product?</t>
  </si>
  <si>
    <t xml:space="preserve">(a) Separate per product, NOT netted (PRD default)  (b) Net at account  (c) Other</t>
  </si>
  <si>
    <t xml:space="preserve">Q6</t>
  </si>
  <si>
    <t xml:space="preserve">Reactivated account (churned then returned)?</t>
  </si>
  <si>
    <t xml:space="preserve">(a) New logo  (b) Expansion  (c) Its own 'reactivation' line  (d) Other</t>
  </si>
  <si>
    <t xml:space="preserve">c</t>
  </si>
  <si>
    <t xml:space="preserve">Q7</t>
  </si>
  <si>
    <t xml:space="preserve">Period grain?</t>
  </si>
  <si>
    <t xml:space="preserve">(a) Monthly  (b) Quarterly  (c) Both, tenant-selectable</t>
  </si>
  <si>
    <t xml:space="preserve">Q8</t>
  </si>
  <si>
    <t xml:space="preserve">Cohort lock — same anchor across later periods?</t>
  </si>
  <si>
    <t xml:space="preserve">(a) Lock to anchor month  (b) Rolling cohort  (c) Other</t>
  </si>
  <si>
    <t xml:space="preserve">b</t>
  </si>
  <si>
    <t xml:space="preserve">Q9</t>
  </si>
  <si>
    <t xml:space="preserve">Can a finished NRR % be entered directly?</t>
  </si>
  <si>
    <t xml:space="preserve">(a) No — only computed  (b) Allow manual override with confidence flag</t>
  </si>
  <si>
    <t xml:space="preserve">Q10</t>
  </si>
  <si>
    <t xml:space="preserve">When a component is missing, what happens to that period?</t>
  </si>
  <si>
    <t xml:space="preserve">(a) Don't render  (b) Render with lowered confidence  (c) Hand-enter component</t>
  </si>
  <si>
    <t xml:space="preserve">b, c</t>
  </si>
  <si>
    <t xml:space="preserve">1 — No agreed definition — teams use different versions; conversations derail on what 'NRR' even means.</t>
  </si>
  <si>
    <t xml:space="preserve">2 — Informal definition exists; one analyst owns it; partial documentation; inconsistent across reports.</t>
  </si>
  <si>
    <t xml:space="preserve">3 — Single documented definition owned by Finance / RevOps; followed consistently across all NRR reports.</t>
  </si>
  <si>
    <t xml:space="preserve">4 — Definition under change-control; versions tracked; refreshed on cadence with audit trail.</t>
  </si>
  <si>
    <t xml:space="preserve">5 — Continuously refined; automated consistency checks; data lineage tracked end-to-end.</t>
  </si>
  <si>
    <t xml:space="preserve">1 — Components extracted ad-hoc each period via manual spreadsheet exports; heavy reconciliation pain.</t>
  </si>
  <si>
    <t xml:space="preserve">2 — One analyst pulls components manually; partial automation; reconciliation issues are common.</t>
  </si>
  <si>
    <t xml:space="preserve">3 — Standardized component capture documented and followed; automated extraction from billing / CRM.</t>
  </si>
  <si>
    <t xml:space="preserve">4 — Integrated component pipeline; near-real-time capture; variance flagged automatically.</t>
  </si>
  <si>
    <t xml:space="preserve">5 — System captures and validates components autonomously; anomalies caught proactively.</t>
  </si>
  <si>
    <t xml:space="preserve">1 — Calculated in spreadsheets; method varies by analyst; formula errors common; results not reproducible.</t>
  </si>
  <si>
    <t xml:space="preserve">2 — Calculation steps documented but inconsistent in practice; reconciliation issues across periods.</t>
  </si>
  <si>
    <t xml:space="preserve">3 — Calculation version-controlled in BI / dbt models; reproducible across periods; team trained.</t>
  </si>
  <si>
    <t xml:space="preserve">4 — Calculation audited each cycle; variances investigated; cross-team validation in place.</t>
  </si>
  <si>
    <t xml:space="preserve">5 — Continuously refined and outcome-tested; autonomous validation; closed-loop refinement.</t>
  </si>
  <si>
    <t xml:space="preserve">1 — NRR available only at company level; no slicing capability.</t>
  </si>
  <si>
    <t xml:space="preserve">2 — Some slicing on ad-hoc request; inconsistent definitions across cuts; partial coverage.</t>
  </si>
  <si>
    <t xml:space="preserve">3 — Standardized slicing across product, segment, cohort, geo, tenure with consistent definitions.</t>
  </si>
  <si>
    <t xml:space="preserve">4 — Self-serve cohort analysis; cross-cut consistency governed; predictive cohorting available.</t>
  </si>
  <si>
    <t xml:space="preserve">5 — Natural-language slicing; agentic cohort discovery; system surfaces meaningful cuts.</t>
  </si>
  <si>
    <t xml:space="preserve">1 — Reported quarterly with weeks of lag; the number feels 'after the fact' by the time it lands.</t>
  </si>
  <si>
    <t xml:space="preserve">2 — Monthly reporting but heavy manual prep; lag of days; not actionable in-cycle.</t>
  </si>
  <si>
    <t xml:space="preserve">3 — Monthly cadence with standardized prep; automated refresh; reliable monthly delivery.</t>
  </si>
  <si>
    <t xml:space="preserve">4 — Weekly / on-demand reporting; near-real-time pipeline; current within a day.</t>
  </si>
  <si>
    <t xml:space="preserve">5 — Continuous refresh; live numbers; system flags shifts as they happen.</t>
  </si>
  <si>
    <t xml:space="preserve">1 — Number disputed at every readout; data sources contradictory; reconciliation impossible.</t>
  </si>
  <si>
    <t xml:space="preserve">2 — Used internally but not trusted at exec level; reconciled but stakeholders still dispute.</t>
  </si>
  <si>
    <t xml:space="preserve">3 — Trusted at department / function level; standardized distribution to leadership.</t>
  </si>
  <si>
    <t xml:space="preserve">4 — Trusted at exec level; informs strategic decisions; integrated into operating reviews.</t>
  </si>
  <si>
    <t xml:space="preserve">5 — Trusted at board level; basis for valuation; self-serve at all levels with explained variances.</t>
  </si>
  <si>
    <t xml:space="preserve">1 — Only historical NRR reported; no forward view; no leading indicators captured.</t>
  </si>
  <si>
    <t xml:space="preserve">2 — Some forecasts attempted ad hoc based on rep gut-feel; leading indicators partial.</t>
  </si>
  <si>
    <t xml:space="preserve">3 — Documented forecast methodology with leading indicators; produced each cycle by Finance / RevOps.</t>
  </si>
  <si>
    <t xml:space="preserve">4 — Governed forecast with variance-to-actuals tracking; predictive analytics integrated.</t>
  </si>
  <si>
    <t xml:space="preserve">5 — Continuously refined autonomous forecast; ML scenario planning; outcome-tested.</t>
  </si>
  <si>
    <t xml:space="preserve">1 — No one quantifies value for renewal; relationship-only.</t>
  </si>
  <si>
    <t xml:space="preserve">2 — One or two CSMs build value recaps for renewals ad hoc.</t>
  </si>
  <si>
    <t xml:space="preserve">3 — Trained CSMs articulate value evidence per account on a cadence.</t>
  </si>
  <si>
    <t xml:space="preserve">4 — CSMs coached on value signals; QBR-driven; segmented by tier.</t>
  </si>
  <si>
    <t xml:space="preserve">5 — System surfaces value gaps automatically; CSMs handle exceptions.</t>
  </si>
  <si>
    <t xml:space="preserve">1 — No method to assemble value evidence for renewal.</t>
  </si>
  <si>
    <t xml:space="preserve">2 — Ad-hoc value recaps stitched manually each renewal cycle.</t>
  </si>
  <si>
    <t xml:space="preserve">3 — Standardized value-realization review on a renewal cadence.</t>
  </si>
  <si>
    <t xml:space="preserve">4 — Reviewed, audited, governed across the renewal portfolio.</t>
  </si>
  <si>
    <t xml:space="preserve">5 — Process autonomous; system runs value review; humans handle exceptions.</t>
  </si>
  <si>
    <t xml:space="preserve">1 — Nothing instrumented for value tracking; spreadsheets and slide decks.</t>
  </si>
  <si>
    <t xml:space="preserve">2 — Basic CS tool tracks usage; partial CRM integration.</t>
  </si>
  <si>
    <t xml:space="preserve">3 — CS platform with health scores tied to renewal hub.</t>
  </si>
  <si>
    <t xml:space="preserve">4 — Integrated stack — CS, CRM, product, billing, support.</t>
  </si>
  <si>
    <t xml:space="preserve">5 — AI-native; predictive models flag renewal slippage automatically.</t>
  </si>
  <si>
    <t xml:space="preserve">1 — No reliable outcome data; finance system only.</t>
  </si>
  <si>
    <t xml:space="preserve">2 — Some usage data captured but stale, partial, unjoined.</t>
  </si>
  <si>
    <t xml:space="preserve">3 — Joined customer 360 refreshed regularly; powers health.</t>
  </si>
  <si>
    <t xml:space="preserve">4 — Near-real-time customer data graph with predictive features.</t>
  </si>
  <si>
    <t xml:space="preserve">5 — Data substrate autonomous; quality and lineage governed.</t>
  </si>
  <si>
    <t xml:space="preserve">1 — No one watches for renewal risk; surprises at renewal.</t>
  </si>
  <si>
    <t xml:space="preserve">2 — Some CSMs flag risk reactively when an account flares up.</t>
  </si>
  <si>
    <t xml:space="preserve">3 — Trained CSMs watch risk signals on a cadence; clear escalation.</t>
  </si>
  <si>
    <t xml:space="preserve">4 — Risk specialists coached; segmented coverage; outcomes tracked.</t>
  </si>
  <si>
    <t xml:space="preserve">5 — Risk team leveraged by system; humans handle complex risk.</t>
  </si>
  <si>
    <t xml:space="preserve">1 — No risk-scoring method; risk is whatever the CSM feels.</t>
  </si>
  <si>
    <t xml:space="preserve">2 — Health score exists in one tool but stale or ignored.</t>
  </si>
  <si>
    <t xml:space="preserve">3 — Standardized risk-scoring model with defined triggers.</t>
  </si>
  <si>
    <t xml:space="preserve">4 — Risk model governed, audited, A/B-tested; closed-loop.</t>
  </si>
  <si>
    <t xml:space="preserve">5 — Risk detection and routing partially autonomous.</t>
  </si>
  <si>
    <t xml:space="preserve">1 — No risk tooling; reviewed only when account flares.</t>
  </si>
  <si>
    <t xml:space="preserve">2 — Basic CS health score; partial coverage; manual analysis.</t>
  </si>
  <si>
    <t xml:space="preserve">3 — Risk-scoring tool runs across base; signals joined and visible.</t>
  </si>
  <si>
    <t xml:space="preserve">4 — Risk model current; routes to owners with full context.</t>
  </si>
  <si>
    <t xml:space="preserve">5 — AI-native; risk model learns from outcomes; agentic interventions.</t>
  </si>
  <si>
    <t xml:space="preserve">1 — Risk signal data missing, stale, or unjoined.</t>
  </si>
  <si>
    <t xml:space="preserve">2 — Partial signal data; manual joins; stale by the time used.</t>
  </si>
  <si>
    <t xml:space="preserve">3 — Joined signal data (usage, sentiment, support); refreshed.</t>
  </si>
  <si>
    <t xml:space="preserve">4 — Near-real-time risk signal graph with predictive features.</t>
  </si>
  <si>
    <t xml:space="preserve">5 — Data substrate enables autonomous risk detection; lineage governed.</t>
  </si>
  <si>
    <t xml:space="preserve">1 — No retention plans; everything in the CSM's head.</t>
  </si>
  <si>
    <t xml:space="preserve">2 — Some CSMs keep retention plans in shared docs; inconsistent.</t>
  </si>
  <si>
    <t xml:space="preserve">3 — CSMs trained to build retention plans tied to live signals.</t>
  </si>
  <si>
    <t xml:space="preserve">4 — Plans coached against renewal outcomes; segmented by tier.</t>
  </si>
  <si>
    <t xml:space="preserve">5 — System recommends next moves; CSMs make strategic decisions.</t>
  </si>
  <si>
    <t xml:space="preserve">1 — No template or cadence for retention planning.</t>
  </si>
  <si>
    <t xml:space="preserve">2 — Plans in shared docs; stale by renewal time.</t>
  </si>
  <si>
    <t xml:space="preserve">3 — Standardized retention plan template, kept current, coached against.</t>
  </si>
  <si>
    <t xml:space="preserve">4 — Plans auto-update from live signals; governed cadence.</t>
  </si>
  <si>
    <t xml:space="preserve">5 — Plans prescriptive; system suggests moves; humans handle exceptions.</t>
  </si>
  <si>
    <t xml:space="preserve">1 — Retention plans in stale Word docs or nothing.</t>
  </si>
  <si>
    <t xml:space="preserve">2 — Plans in shared cloud docs; no live data attached.</t>
  </si>
  <si>
    <t xml:space="preserve">3 — Plans live in CS platform with live signal references.</t>
  </si>
  <si>
    <t xml:space="preserve">4 — Plans integrated with CRM, CS, signals; auto-refresh.</t>
  </si>
  <si>
    <t xml:space="preserve">5 — AI-native plan system; agentic suggestions; closed-loop.</t>
  </si>
  <si>
    <t xml:space="preserve">1 — Plans not anchored in real data; rep notes only.</t>
  </si>
  <si>
    <t xml:space="preserve">2 — Plans reference some data manually pulled; stale.</t>
  </si>
  <si>
    <t xml:space="preserve">3 — Plans reference current usage, health, outcome data.</t>
  </si>
  <si>
    <t xml:space="preserve">4 — Plans pull near-real-time joined data; ML-ready.</t>
  </si>
  <si>
    <t xml:space="preserve">5 — Data enables plan automation; quality governed.</t>
  </si>
  <si>
    <t xml:space="preserve">1 — No retention plays; teams improvise when signals fire.</t>
  </si>
  <si>
    <t xml:space="preserve">2 — A few CSMs run save plays; manual triggers; inconsistent.</t>
  </si>
  <si>
    <t xml:space="preserve">3 — CSMs trained on named retention plays (save, sponsor change, usage drop).</t>
  </si>
  <si>
    <t xml:space="preserve">4 — Specialized owners coached on play execution; outcomes tracked.</t>
  </si>
  <si>
    <t xml:space="preserve">5 — System leverages team; humans run exception plays only.</t>
  </si>
  <si>
    <t xml:space="preserve">1 — No defined retention play library; ad-hoc response.</t>
  </si>
  <si>
    <t xml:space="preserve">2 — A few plays documented; manual alerts; uneven application.</t>
  </si>
  <si>
    <t xml:space="preserve">3 — Comprehensive retention play library with triggers, owners, SLAs.</t>
  </si>
  <si>
    <t xml:space="preserve">4 — Plays governed, audited, A/B-tested.</t>
  </si>
  <si>
    <t xml:space="preserve">5 — System detects retention signals, routes plays, refines.</t>
  </si>
  <si>
    <t xml:space="preserve">1 — No tooling; retention signals missed or noticed by accident.</t>
  </si>
  <si>
    <t xml:space="preserve">2 — Manual alerts; assignments tracked in spreadsheets.</t>
  </si>
  <si>
    <t xml:space="preserve">3 — Systems detect retention triggers and route plays with context.</t>
  </si>
  <si>
    <t xml:space="preserve">4 — Automated trigger-to-action; outcomes tracked end-to-end.</t>
  </si>
  <si>
    <t xml:space="preserve">5 — Agentic workflows initiate retention plays; closed-loop learning.</t>
  </si>
  <si>
    <t xml:space="preserve">1 — Retention signal data not joined; triggers undetectable.</t>
  </si>
  <si>
    <t xml:space="preserve">2 — Triggers detected manually after the fact.</t>
  </si>
  <si>
    <t xml:space="preserve">3 — Joined signal data; retention triggers detectable in time.</t>
  </si>
  <si>
    <t xml:space="preserve">4 — Near-real-time signal graph with predictive triggering.</t>
  </si>
  <si>
    <t xml:space="preserve">5 — System learns which plays land on which retention signals.</t>
  </si>
  <si>
    <t xml:space="preserve">1 — No coaching on renewal motion; CSMs improvise.</t>
  </si>
  <si>
    <t xml:space="preserve">2 — Some CSMs follow a method; uneven skill at renewals.</t>
  </si>
  <si>
    <t xml:space="preserve">3 — All CSMs coached on stage-gated renewal motion; certified.</t>
  </si>
  <si>
    <t xml:space="preserve">4 — Renewal coaching tied to live data; segmented by tier.</t>
  </si>
  <si>
    <t xml:space="preserve">5 — System recommends next-best-action per stage; CSMs handle complex saves.</t>
  </si>
  <si>
    <t xml:space="preserve">1 — No defined renewal motion or stage gates.</t>
  </si>
  <si>
    <t xml:space="preserve">2 — Loose renewal stages; data captured inconsistently.</t>
  </si>
  <si>
    <t xml:space="preserve">3 — Standardized renewal motion with stage gates; instrumented.</t>
  </si>
  <si>
    <t xml:space="preserve">4 — Renewal motion measured end-to-end; A/B-tested; coached against outcomes.</t>
  </si>
  <si>
    <t xml:space="preserve">5 — Renewal motion partially autonomous; system runs routine.</t>
  </si>
  <si>
    <t xml:space="preserve">1 — No CRM stages for renewals; tracked in spreadsheets.</t>
  </si>
  <si>
    <t xml:space="preserve">2 — Basic CRM renewal stages; manual approval and tracking.</t>
  </si>
  <si>
    <t xml:space="preserve">3 — CRM / CS / e-sign integrated for renewals end-to-end.</t>
  </si>
  <si>
    <t xml:space="preserve">4 — Best-of-breed renewal stack; live forecast feed.</t>
  </si>
  <si>
    <t xml:space="preserve">5 — AI-native renewal motion; agentic execution.</t>
  </si>
  <si>
    <t xml:space="preserve">1 — Renewal pipeline data unreliable or incomplete.</t>
  </si>
  <si>
    <t xml:space="preserve">2 — Renewal pipeline data exists but stale or disputed.</t>
  </si>
  <si>
    <t xml:space="preserve">3 — Renewal pipeline data trustworthy and current; powers forecast.</t>
  </si>
  <si>
    <t xml:space="preserve">4 — Near-real-time renewal pipeline; predictive forecast.</t>
  </si>
  <si>
    <t xml:space="preserve">5 — Data substrate for autonomous renewal decisions.</t>
  </si>
  <si>
    <t xml:space="preserve">1 — CSMs unsure how retention behavior maps to comp.</t>
  </si>
  <si>
    <t xml:space="preserve">2 — Some retention metrics tied to comp but unclear or disputed.</t>
  </si>
  <si>
    <t xml:space="preserve">3 — CSMs trained on comp model; clear line behavior-to-payout.</t>
  </si>
  <si>
    <t xml:space="preserve">4 — Retention comp coached against performance; reinforced via deal desk.</t>
  </si>
  <si>
    <t xml:space="preserve">5 — Continuous comp tuning from retention outcome data.</t>
  </si>
  <si>
    <t xml:space="preserve">1 — Comp doesn't reward retention; CSMs focus elsewhere.</t>
  </si>
  <si>
    <t xml:space="preserve">2 — Some retention credit exists but partial; attribution disputed.</t>
  </si>
  <si>
    <t xml:space="preserve">3 — Comp engineered for GRR, on-time renewals, save rate.</t>
  </si>
  <si>
    <t xml:space="preserve">4 — Retention comp governed, audited, integrated with performance management.</t>
  </si>
  <si>
    <t xml:space="preserve">5 — Comp model continuously refined from retention outcomes.</t>
  </si>
  <si>
    <t xml:space="preserve">1 — Retention comp calculated manually in spreadsheets.</t>
  </si>
  <si>
    <t xml:space="preserve">2 — Basic comp tool; partial integration with CS metrics.</t>
  </si>
  <si>
    <t xml:space="preserve">3 — Integrated comp platform tied to retention metrics.</t>
  </si>
  <si>
    <t xml:space="preserve">4 — Retention comp metrics live; tied to dashboards.</t>
  </si>
  <si>
    <t xml:space="preserve">5 — AI-native comp engine recommends retention model tuning.</t>
  </si>
  <si>
    <t xml:space="preserve">1 — Retention attribution data dirty or contested.</t>
  </si>
  <si>
    <t xml:space="preserve">2 — Attribution exists but disputed; manual reconciliation.</t>
  </si>
  <si>
    <t xml:space="preserve">3 — Retention attribution clean; single source of truth.</t>
  </si>
  <si>
    <t xml:space="preserve">4 — Retention attribution current and trusted; powers dashboards.</t>
  </si>
  <si>
    <t xml:space="preserve">5 — Data substrate enables continuous retention comp optimization.</t>
  </si>
  <si>
    <t xml:space="preserve">1 — No named retention owner; metrics not trusted.</t>
  </si>
  <si>
    <t xml:space="preserve">2 — Informal retention owner; occasional reviews; static reports.</t>
  </si>
  <si>
    <t xml:space="preserve">3 — Clear retention owner; regular cadence; trusted dashboard.</t>
  </si>
  <si>
    <t xml:space="preserve">4 — Exec-level retention governance; segment owners drive numbers.</t>
  </si>
  <si>
    <t xml:space="preserve">5 — Board-visible retention program with predictive metrics.</t>
  </si>
  <si>
    <t xml:space="preserve">1 — No cadence for retention reviews; metrics not reported.</t>
  </si>
  <si>
    <t xml:space="preserve">2 — Ad-hoc retention reviews; reports lag the action.</t>
  </si>
  <si>
    <t xml:space="preserve">3 — Regular retention cadence (forecast, risk, post-renewal); followed.</t>
  </si>
  <si>
    <t xml:space="preserve">4 — Exec retention cadence; integrated with broader business reviews.</t>
  </si>
  <si>
    <t xml:space="preserve">5 — Retention cadence partially autonomous; system surfaces issues.</t>
  </si>
  <si>
    <t xml:space="preserve">1 — No retention dashboards; metrics in spreadsheets after the fact.</t>
  </si>
  <si>
    <t xml:space="preserve">2 — Basic retention dashboards but stale or disputed.</t>
  </si>
  <si>
    <t xml:space="preserve">3 — Trusted retention dashboards exist and update reliably.</t>
  </si>
  <si>
    <t xml:space="preserve">4 — Live exec retention dashboards integrated across systems.</t>
  </si>
  <si>
    <t xml:space="preserve">5 — AI-native retention dashboards; predictive metrics flag reversals.</t>
  </si>
  <si>
    <t xml:space="preserve">1 — Retention metrics not trusted; data dirty or disputed.</t>
  </si>
  <si>
    <t xml:space="preserve">2 — Some retention metrics tracked but disputed by stakeholders.</t>
  </si>
  <si>
    <t xml:space="preserve">3 — Retention metrics (GRR, at-risk $) trusted at department level.</t>
  </si>
  <si>
    <t xml:space="preserve">4 — Retention metrics trusted at exec level; current and joined.</t>
  </si>
  <si>
    <t xml:space="preserve">5 — Retention metrics trusted at board level; predictive.</t>
  </si>
  <si>
    <t xml:space="preserve">1 — No one quantifies value per unit; pure feature pitch.</t>
  </si>
  <si>
    <t xml:space="preserve">2 — One or two AEs build value cases ad hoc per deal.</t>
  </si>
  <si>
    <t xml:space="preserve">3 — Trained AEs articulate value per seat / token / run on cadence.</t>
  </si>
  <si>
    <t xml:space="preserve">4 — AEs coached on value signals; segmented by expansion motion.</t>
  </si>
  <si>
    <t xml:space="preserve">5 — System surfaces value automatically; AEs handle high-value moves.</t>
  </si>
  <si>
    <t xml:space="preserve">1 — No method to show value justifies expansion.</t>
  </si>
  <si>
    <t xml:space="preserve">2 — Ad-hoc value notes stitched per expansion conversation.</t>
  </si>
  <si>
    <t xml:space="preserve">3 — Standardized value-per-unit review on a cadence.</t>
  </si>
  <si>
    <t xml:space="preserve">4 — Reviewed, audited, governed across expansion portfolio.</t>
  </si>
  <si>
    <t xml:space="preserve">5 — Process autonomous; system runs review; humans handle exceptions.</t>
  </si>
  <si>
    <t xml:space="preserve">1 — Nothing instrumented for usage-value tracking; spreadsheets only.</t>
  </si>
  <si>
    <t xml:space="preserve">2 — Basic product analytics; partial CRM integration.</t>
  </si>
  <si>
    <t xml:space="preserve">3 — Value tooling tied to accounts; integrated with CRM and CPQ.</t>
  </si>
  <si>
    <t xml:space="preserve">4 — Integrated stack — product, CRM, billing, CPQ; near-real-time.</t>
  </si>
  <si>
    <t xml:space="preserve">5 — AI-native; predictive models flag expansion-readiness automatically.</t>
  </si>
  <si>
    <t xml:space="preserve">1 — Usage-vs-entitlement data missing or unjoined.</t>
  </si>
  <si>
    <t xml:space="preserve">2 — Partial usage data; manual joins; stale.</t>
  </si>
  <si>
    <t xml:space="preserve">3 — Clean joined data (active vs licensed, usage per unit, outcomes).</t>
  </si>
  <si>
    <t xml:space="preserve">4 — Near-real-time and broad coverage; ML-ready features.</t>
  </si>
  <si>
    <t xml:space="preserve">5 — Live, complete, governed; substrate for autonomous decisions.</t>
  </si>
  <si>
    <t xml:space="preserve">1 — No one ranks accounts for expansion headroom.</t>
  </si>
  <si>
    <t xml:space="preserve">2 — Some AEs eyeball headroom ad hoc; reactive to customer ask.</t>
  </si>
  <si>
    <t xml:space="preserve">3 — AEs trained to rank seat / usage headroom on a cadence.</t>
  </si>
  <si>
    <t xml:space="preserve">4 — Specialized AMs coached on headroom-driven motion.</t>
  </si>
  <si>
    <t xml:space="preserve">5 — System surfaces headroom; AEs focus on top-priority moves.</t>
  </si>
  <si>
    <t xml:space="preserve">1 — No repeatable method to detect or score expansion headroom.</t>
  </si>
  <si>
    <t xml:space="preserve">2 — Manual whitespace analysis once a quarter; partial.</t>
  </si>
  <si>
    <t xml:space="preserve">3 — Standardized whitespace scoring documented and applied.</t>
  </si>
  <si>
    <t xml:space="preserve">4 — Whitespace scoring governed, audited, A/B-tested.</t>
  </si>
  <si>
    <t xml:space="preserve">5 — Detection and routing partially autonomous.</t>
  </si>
  <si>
    <t xml:space="preserve">1 — No whitespace tool; eyeballing only.</t>
  </si>
  <si>
    <t xml:space="preserve">2 — Basic pacing dashboard or single-tool view.</t>
  </si>
  <si>
    <t xml:space="preserve">3 — Whitespace tool surfaces headroom; sortable across base.</t>
  </si>
  <si>
    <t xml:space="preserve">4 — Best-of-breed stack with real-time signals; auto-routing.</t>
  </si>
  <si>
    <t xml:space="preserve">5 — AI-native; predictive whitespace models; agentic plays.</t>
  </si>
  <si>
    <t xml:space="preserve">1 — Entitlement / usage data missing or unjoined.</t>
  </si>
  <si>
    <t xml:space="preserve">2 — Partial data; manual joins; stale.</t>
  </si>
  <si>
    <t xml:space="preserve">3 — Joined entitlement, usage, product-fit data refreshed regularly.</t>
  </si>
  <si>
    <t xml:space="preserve">4 — Near-real-time signal graph with predictive features.</t>
  </si>
  <si>
    <t xml:space="preserve">5 — Live, complete data substrate; governed quality.</t>
  </si>
  <si>
    <t xml:space="preserve">1 — No expansion plans; planning in heads.</t>
  </si>
  <si>
    <t xml:space="preserve">2 — Some AEs keep expansion plans in shared docs; inconsistent.</t>
  </si>
  <si>
    <t xml:space="preserve">3 — AEs trained to build expansion plans tied to live signals.</t>
  </si>
  <si>
    <t xml:space="preserve">4 — Plans coached against expansion outcomes; segmented by motion.</t>
  </si>
  <si>
    <t xml:space="preserve">5 — System suggests next moves; AEs make strategic decisions.</t>
  </si>
  <si>
    <t xml:space="preserve">1 — No template or cadence for expansion planning.</t>
  </si>
  <si>
    <t xml:space="preserve">2 — Plans in shared docs; stale by the time used.</t>
  </si>
  <si>
    <t xml:space="preserve">3 — Standardized expansion plan template, kept current.</t>
  </si>
  <si>
    <t xml:space="preserve">4 — Plans auto-update from live signals; governed.</t>
  </si>
  <si>
    <t xml:space="preserve">5 — Plans prescriptive; system recommends moves; humans handle exceptions.</t>
  </si>
  <si>
    <t xml:space="preserve">1 — Expansion plans in stale Word docs or nothing.</t>
  </si>
  <si>
    <t xml:space="preserve">3 — Plans live in CRM with live signal references.</t>
  </si>
  <si>
    <t xml:space="preserve">4 — Plans integrated with CRM and signals; auto-refresh.</t>
  </si>
  <si>
    <t xml:space="preserve">3 — Plans reference current usage, outcome, stakeholder data.</t>
  </si>
  <si>
    <t xml:space="preserve">1 — No expansion plays; teams improvise when customer asks.</t>
  </si>
  <si>
    <t xml:space="preserve">2 — A few AEs run a few plays; manual triggers; inconsistent.</t>
  </si>
  <si>
    <t xml:space="preserve">3 — AEs trained on named expansion plays (commit, overage, role change).</t>
  </si>
  <si>
    <t xml:space="preserve">4 — Specialized AEs coached on play execution; outcomes tracked.</t>
  </si>
  <si>
    <t xml:space="preserve">1 — No defined expansion play library.</t>
  </si>
  <si>
    <t xml:space="preserve">3 — Comprehensive expansion play library with triggers and SLAs.</t>
  </si>
  <si>
    <t xml:space="preserve">4 — Plays governed and A/B-tested.</t>
  </si>
  <si>
    <t xml:space="preserve">5 — System detects expansion signals, routes plays, refines.</t>
  </si>
  <si>
    <t xml:space="preserve">1 — No tooling; expansion signals missed.</t>
  </si>
  <si>
    <t xml:space="preserve">3 — Systems detect expansion triggers and route plays with context.</t>
  </si>
  <si>
    <t xml:space="preserve">5 — Agentic workflows initiate expansion plays; closed-loop learning.</t>
  </si>
  <si>
    <t xml:space="preserve">1 — Expansion signal data not joined.</t>
  </si>
  <si>
    <t xml:space="preserve">3 — Joined signal data; expansion triggers detectable in time.</t>
  </si>
  <si>
    <t xml:space="preserve">5 — System learns which plays land on which expansion signals.</t>
  </si>
  <si>
    <t xml:space="preserve">1 — No coaching on usage-up motion; AEs improvise.</t>
  </si>
  <si>
    <t xml:space="preserve">2 — Some AEs follow a method; uneven skill at expansion.</t>
  </si>
  <si>
    <t xml:space="preserve">3 — All AEs coached on stage-gated usage-up motion; certified.</t>
  </si>
  <si>
    <t xml:space="preserve">4 — Motion coaching tied to live data; segmented by tier.</t>
  </si>
  <si>
    <t xml:space="preserve">5 — System recommends next-best-action per stage; AEs handle complex deals.</t>
  </si>
  <si>
    <t xml:space="preserve">1 — No defined usage-up motion.</t>
  </si>
  <si>
    <t xml:space="preserve">2 — Loose stages; data captured inconsistently.</t>
  </si>
  <si>
    <t xml:space="preserve">3 — Standardized usage-up motion with stage gates; instrumented.</t>
  </si>
  <si>
    <t xml:space="preserve">4 — Motion measured end-to-end; A/B-tested.</t>
  </si>
  <si>
    <t xml:space="preserve">5 — Motion partially autonomous; system runs routine.</t>
  </si>
  <si>
    <t xml:space="preserve">1 — No CRM stages for expansion; tracked in spreadsheets.</t>
  </si>
  <si>
    <t xml:space="preserve">2 — Basic CRM stages; manual approval.</t>
  </si>
  <si>
    <t xml:space="preserve">3 — CRM / CPQ / e-sign integrated; usage-aware CPQ.</t>
  </si>
  <si>
    <t xml:space="preserve">4 — Best-of-breed expansion stack; live forecast feed.</t>
  </si>
  <si>
    <t xml:space="preserve">5 — AI-native expansion motion; agentic execution.</t>
  </si>
  <si>
    <t xml:space="preserve">1 — Expansion pipeline data unreliable or incomplete.</t>
  </si>
  <si>
    <t xml:space="preserve">2 — Pipeline data exists but stale or disputed.</t>
  </si>
  <si>
    <t xml:space="preserve">3 — Expansion pipeline data trustworthy and current.</t>
  </si>
  <si>
    <t xml:space="preserve">4 — Near-real-time pipeline graph with predictive forecast.</t>
  </si>
  <si>
    <t xml:space="preserve">5 — Data substrate for autonomous expansion decisions.</t>
  </si>
  <si>
    <t xml:space="preserve">1 — AEs unsure how usage growth maps to comp.</t>
  </si>
  <si>
    <t xml:space="preserve">2 — Some expansion metrics tied to comp but unclear or disputed.</t>
  </si>
  <si>
    <t xml:space="preserve">3 — AEs trained on comp model; clear line behavior-to-payout.</t>
  </si>
  <si>
    <t xml:space="preserve">4 — Expansion comp coached against performance.</t>
  </si>
  <si>
    <t xml:space="preserve">5 — Continuous comp tuning from expansion outcome data.</t>
  </si>
  <si>
    <t xml:space="preserve">1 — Comp ignores usage growth; rewards new logos only.</t>
  </si>
  <si>
    <t xml:space="preserve">2 — Some expansion credit exists but partial; attribution disputed.</t>
  </si>
  <si>
    <t xml:space="preserve">3 — Comp engineered for usage growth, tier-up, cross-sell.</t>
  </si>
  <si>
    <t xml:space="preserve">4 — Expansion comp governed, audited, integrated.</t>
  </si>
  <si>
    <t xml:space="preserve">5 — Comp model continuously refined from expansion outcomes.</t>
  </si>
  <si>
    <t xml:space="preserve">1 — Expansion comp calculated manually.</t>
  </si>
  <si>
    <t xml:space="preserve">2 — Basic comp tool; partial CRM integration.</t>
  </si>
  <si>
    <t xml:space="preserve">3 — Integrated comp platform tied to expansion metrics.</t>
  </si>
  <si>
    <t xml:space="preserve">4 — Expansion comp metrics live and current.</t>
  </si>
  <si>
    <t xml:space="preserve">5 — AI-native comp engine recommends expansion model tuning.</t>
  </si>
  <si>
    <t xml:space="preserve">1 — Expansion attribution data dirty or contested.</t>
  </si>
  <si>
    <t xml:space="preserve">3 — Expansion attribution clean; single source of truth.</t>
  </si>
  <si>
    <t xml:space="preserve">4 — Attribution current and trusted; powers dashboards.</t>
  </si>
  <si>
    <t xml:space="preserve">5 — Data enables continuous expansion comp optimization.</t>
  </si>
  <si>
    <t xml:space="preserve">1 — No named expansion owner.</t>
  </si>
  <si>
    <t xml:space="preserve">2 — Informal expansion owner; occasional reviews; static reports.</t>
  </si>
  <si>
    <t xml:space="preserve">3 — Clear expansion owner; regular cadence; trusted dashboard.</t>
  </si>
  <si>
    <t xml:space="preserve">4 — Exec-level expansion governance; segment owners drive.</t>
  </si>
  <si>
    <t xml:space="preserve">5 — Board-visible expansion program with predictive metrics.</t>
  </si>
  <si>
    <t xml:space="preserve">1 — No cadence for expansion reviews.</t>
  </si>
  <si>
    <t xml:space="preserve">2 — Ad-hoc expansion reviews; reports lag the action.</t>
  </si>
  <si>
    <t xml:space="preserve">3 — Regular cadence (consumption, commit utilization, forecast).</t>
  </si>
  <si>
    <t xml:space="preserve">4 — Exec cadence; integrated with business reviews.</t>
  </si>
  <si>
    <t xml:space="preserve">5 — Cadence partially autonomous; system surfaces issues.</t>
  </si>
  <si>
    <t xml:space="preserve">1 — No expansion dashboards.</t>
  </si>
  <si>
    <t xml:space="preserve">2 — Basic expansion dashboards but stale or disputed.</t>
  </si>
  <si>
    <t xml:space="preserve">3 — Trusted expansion dashboards update reliably.</t>
  </si>
  <si>
    <t xml:space="preserve">4 — Live exec expansion dashboards integrated across systems.</t>
  </si>
  <si>
    <t xml:space="preserve">5 — AI-native expansion dashboards; predictive metrics.</t>
  </si>
  <si>
    <t xml:space="preserve">1 — Expansion metrics not trusted.</t>
  </si>
  <si>
    <t xml:space="preserve">2 — Some expansion metrics tracked but disputed.</t>
  </si>
  <si>
    <t xml:space="preserve">3 — Expansion metrics trusted at department level.</t>
  </si>
  <si>
    <t xml:space="preserve">4 — Expansion metrics trusted at exec level; current and joined.</t>
  </si>
  <si>
    <t xml:space="preserve">5 — Expansion metrics trusted at board level; predictive.</t>
  </si>
  <si>
    <t xml:space="preserve">1 — Price set on cost-plus or competitor; no value anchoring.</t>
  </si>
  <si>
    <t xml:space="preserve">2 — Some reps reference value at quote time; inconsistent.</t>
  </si>
  <si>
    <t xml:space="preserve">3 — Reps and deal desk trained on value-based pricing.</t>
  </si>
  <si>
    <t xml:space="preserve">4 — Reps coached on value signals; segment owners drive pricing.</t>
  </si>
  <si>
    <t xml:space="preserve">5 — System recommends price floors; reps focus on strategic deals.</t>
  </si>
  <si>
    <t xml:space="preserve">1 — No method to anchor price on realized value.</t>
  </si>
  <si>
    <t xml:space="preserve">2 — Some value rationales in slides per deal; inconsistent.</t>
  </si>
  <si>
    <t xml:space="preserve">3 — Standardized value-based pricing method at quote time.</t>
  </si>
  <si>
    <t xml:space="preserve">4 — Method reviewed, audited, governed across segments.</t>
  </si>
  <si>
    <t xml:space="preserve">5 — Method partially autonomous; system suggests floors per segment.</t>
  </si>
  <si>
    <t xml:space="preserve">1 — No CPQ value tooling; spreadsheet quotes.</t>
  </si>
  <si>
    <t xml:space="preserve">2 — Basic CPQ; manual value evidence at quote time.</t>
  </si>
  <si>
    <t xml:space="preserve">3 — CPQ pulls realized-value evidence at quote time.</t>
  </si>
  <si>
    <t xml:space="preserve">4 — Integrated value-pricing tooling; near-real-time evidence.</t>
  </si>
  <si>
    <t xml:space="preserve">5 — AI-native pricing engine recommends list and floor per segment.</t>
  </si>
  <si>
    <t xml:space="preserve">1 — Value-realization data not joined to deals.</t>
  </si>
  <si>
    <t xml:space="preserve">2 — Some value data manually pulled into deals; stale.</t>
  </si>
  <si>
    <t xml:space="preserve">3 — Value data joined to deal records; refreshed regularly.</t>
  </si>
  <si>
    <t xml:space="preserve">4 — Near-real-time value data with predictive features.</t>
  </si>
  <si>
    <t xml:space="preserve">5 — Data substrate enables autonomous price recommendations.</t>
  </si>
  <si>
    <t xml:space="preserve">1 — No one watches for leakage; effective price drift invisible.</t>
  </si>
  <si>
    <t xml:space="preserve">2 — Some analysts look at pricing data ad hoc.</t>
  </si>
  <si>
    <t xml:space="preserve">3 — Pricing analyst / deal desk watches leakage on a cadence.</t>
  </si>
  <si>
    <t xml:space="preserve">4 — Specialized pricing team coached on leakage detection.</t>
  </si>
  <si>
    <t xml:space="preserve">5 — System surfaces leakage; team focuses on strategic re-pricing.</t>
  </si>
  <si>
    <t xml:space="preserve">1 — No leakage-detection method.</t>
  </si>
  <si>
    <t xml:space="preserve">2 — Manual leakage analysis once a quarter; partial.</t>
  </si>
  <si>
    <t xml:space="preserve">3 — Standardized leakage scoring documented and applied.</t>
  </si>
  <si>
    <t xml:space="preserve">4 — Leakage detection governed, audited, A/B-tested.</t>
  </si>
  <si>
    <t xml:space="preserve">1 — No pricing leakage tooling.</t>
  </si>
  <si>
    <t xml:space="preserve">2 — Basic price reports; partial coverage.</t>
  </si>
  <si>
    <t xml:space="preserve">3 — Leakage scoring tool runs across base; sortable.</t>
  </si>
  <si>
    <t xml:space="preserve">4 — Best-of-breed pricing analytics with real-time signals.</t>
  </si>
  <si>
    <t xml:space="preserve">5 — AI-native; predictive leakage models; agentic re-pricing.</t>
  </si>
  <si>
    <t xml:space="preserve">1 — Deal-level pricing data missing or unjoined.</t>
  </si>
  <si>
    <t xml:space="preserve">2 — Partial pricing data; manual joins; stale.</t>
  </si>
  <si>
    <t xml:space="preserve">3 — Joined deal data (price, discount, segment, win / loss).</t>
  </si>
  <si>
    <t xml:space="preserve">4 — Near-real-time pricing data graph; predictive features.</t>
  </si>
  <si>
    <t xml:space="preserve">5 — Live, complete pricing data substrate; governed.</t>
  </si>
  <si>
    <t xml:space="preserve">1 — No segment-level pricing strategy; one global price list.</t>
  </si>
  <si>
    <t xml:space="preserve">2 — Some segment owners keep pricing rules in slides.</t>
  </si>
  <si>
    <t xml:space="preserve">3 — Segment owners trained to set per-segment strategy with floors.</t>
  </si>
  <si>
    <t xml:space="preserve">4 — Strategy coached against win / loss outcomes; segmented.</t>
  </si>
  <si>
    <t xml:space="preserve">5 — System recommends strategy per segment; owners decide.</t>
  </si>
  <si>
    <t xml:space="preserve">1 — No template or cadence for pricing strategy.</t>
  </si>
  <si>
    <t xml:space="preserve">2 — Pricing rules in slides; not enforced at quote.</t>
  </si>
  <si>
    <t xml:space="preserve">3 — Standardized strategy template per segment, kept current.</t>
  </si>
  <si>
    <t xml:space="preserve">4 — Strategies auto-update from live signals; governed.</t>
  </si>
  <si>
    <t xml:space="preserve">5 — Strategy prescriptive; system recommends targets per segment.</t>
  </si>
  <si>
    <t xml:space="preserve">1 — Pricing strategy in slides or nothing.</t>
  </si>
  <si>
    <t xml:space="preserve">2 — Strategy in shared docs; no CPQ enforcement.</t>
  </si>
  <si>
    <t xml:space="preserve">3 — Strategy integrated with CPQ and approval workflows.</t>
  </si>
  <si>
    <t xml:space="preserve">4 — Strategy integrated with live elasticity data.</t>
  </si>
  <si>
    <t xml:space="preserve">5 — AI-native; agentic strategy adjustments per segment.</t>
  </si>
  <si>
    <t xml:space="preserve">1 — Strategy not anchored in real data; gut-feel.</t>
  </si>
  <si>
    <t xml:space="preserve">2 — Strategy references some data manually; stale.</t>
  </si>
  <si>
    <t xml:space="preserve">3 — Strategy references current win / loss and elasticity data.</t>
  </si>
  <si>
    <t xml:space="preserve">4 — Strategy pulls near-real-time joined data; ML-ready.</t>
  </si>
  <si>
    <t xml:space="preserve">5 — Data enables strategy automation; quality governed.</t>
  </si>
  <si>
    <t xml:space="preserve">1 — No pricing plays; case-by-case decisions.</t>
  </si>
  <si>
    <t xml:space="preserve">2 — A few deal desk plays; manual approval flow.</t>
  </si>
  <si>
    <t xml:space="preserve">3 — Deal desk trained on named pricing plays (re-price, escalate, re-tier).</t>
  </si>
  <si>
    <t xml:space="preserve">4 — Specialized owners coached on pricing play execution.</t>
  </si>
  <si>
    <t xml:space="preserve">5 — System leverages team; humans handle exception plays.</t>
  </si>
  <si>
    <t xml:space="preserve">1 — No defined pricing play library.</t>
  </si>
  <si>
    <t xml:space="preserve">2 — Manual approval rules for some discounts.</t>
  </si>
  <si>
    <t xml:space="preserve">3 — Comprehensive pricing play library with triggers and SLAs.</t>
  </si>
  <si>
    <t xml:space="preserve">5 — System detects pricing triggers, routes plays, refines.</t>
  </si>
  <si>
    <t xml:space="preserve">1 — No tooling; pricing decisions case-by-case.</t>
  </si>
  <si>
    <t xml:space="preserve">2 — Basic discount approvals in CPQ.</t>
  </si>
  <si>
    <t xml:space="preserve">3 — Systems detect pricing triggers and route plays.</t>
  </si>
  <si>
    <t xml:space="preserve">5 — Agentic workflows initiate pricing plays; closed-loop learning.</t>
  </si>
  <si>
    <t xml:space="preserve">1 — Pricing trigger data not joined.</t>
  </si>
  <si>
    <t xml:space="preserve">3 — Joined signal data; pricing triggers detectable in time.</t>
  </si>
  <si>
    <t xml:space="preserve">5 — System learns which plays land on which pricing signals.</t>
  </si>
  <si>
    <t xml:space="preserve">1 — No coaching on pricing motion; reps improvise.</t>
  </si>
  <si>
    <t xml:space="preserve">2 — Some reps follow a method; uneven skill at price defense.</t>
  </si>
  <si>
    <t xml:space="preserve">3 — All reps coached on stage-gated pricing motion; certified.</t>
  </si>
  <si>
    <t xml:space="preserve">4 — Pricing coaching tied to live data; segmented by tier.</t>
  </si>
  <si>
    <t xml:space="preserve">5 — System recommends next-best-action per stage.</t>
  </si>
  <si>
    <t xml:space="preserve">1 — No defined pricing motion.</t>
  </si>
  <si>
    <t xml:space="preserve">2 — Loose stages; approvals slow and inconsistent.</t>
  </si>
  <si>
    <t xml:space="preserve">3 — Standardized pricing motion with stage gates and guardrails.</t>
  </si>
  <si>
    <t xml:space="preserve">5 — Motion partially autonomous; system runs routine approvals.</t>
  </si>
  <si>
    <t xml:space="preserve">1 — No CPQ; quotes in spreadsheets.</t>
  </si>
  <si>
    <t xml:space="preserve">2 — Basic CPQ; manual approval.</t>
  </si>
  <si>
    <t xml:space="preserve">3 — CPQ supports pricing motion end-to-end with audit trail.</t>
  </si>
  <si>
    <t xml:space="preserve">4 — Best-of-breed pricing stack; live forecast feed.</t>
  </si>
  <si>
    <t xml:space="preserve">5 — AI-native pricing motion; agentic execution.</t>
  </si>
  <si>
    <t xml:space="preserve">1 — Pricing pipeline data unreliable or incomplete.</t>
  </si>
  <si>
    <t xml:space="preserve">2 — Pricing pipeline data exists but stale or disputed.</t>
  </si>
  <si>
    <t xml:space="preserve">3 — Pricing pipeline data trustworthy and current.</t>
  </si>
  <si>
    <t xml:space="preserve">4 — Near-real-time pricing pipeline; predictive forecast.</t>
  </si>
  <si>
    <t xml:space="preserve">5 — Data substrate for autonomous pricing decisions.</t>
  </si>
  <si>
    <t xml:space="preserve">1 — Reps unsure how price discipline maps to comp.</t>
  </si>
  <si>
    <t xml:space="preserve">2 — Some pricing metrics tied to comp but unclear.</t>
  </si>
  <si>
    <t xml:space="preserve">3 — Reps trained on comp model; clear line discipline-to-payout.</t>
  </si>
  <si>
    <t xml:space="preserve">4 — Pricing comp coached against ASP and tier mix.</t>
  </si>
  <si>
    <t xml:space="preserve">5 — Continuous comp tuning from pricing outcomes.</t>
  </si>
  <si>
    <t xml:space="preserve">1 — Comp rewards volume only; encourages discounting to close.</t>
  </si>
  <si>
    <t xml:space="preserve">2 — Some pricing credit exists but unclear; mixed signals.</t>
  </si>
  <si>
    <t xml:space="preserve">3 — Comp engineered for ASP, effective price, tier mix.</t>
  </si>
  <si>
    <t xml:space="preserve">4 — Pricing comp governed, audited, integrated with performance management.</t>
  </si>
  <si>
    <t xml:space="preserve">5 — Comp model continuously refined from pricing outcomes.</t>
  </si>
  <si>
    <t xml:space="preserve">1 — Pricing comp calculated manually.</t>
  </si>
  <si>
    <t xml:space="preserve">3 — Integrated comp platform tied to pricing metrics.</t>
  </si>
  <si>
    <t xml:space="preserve">4 — Pricing comp metrics live and current.</t>
  </si>
  <si>
    <t xml:space="preserve">5 — AI-native comp engine recommends pricing model tuning.</t>
  </si>
  <si>
    <t xml:space="preserve">1 — Pricing attribution data dirty or contested.</t>
  </si>
  <si>
    <t xml:space="preserve">3 — Pricing attribution clean; single source of truth.</t>
  </si>
  <si>
    <t xml:space="preserve">5 — Data enables continuous pricing comp optimization.</t>
  </si>
  <si>
    <t xml:space="preserve">1 — No named pricing owner; pricing health invisible.</t>
  </si>
  <si>
    <t xml:space="preserve">2 — Informal pricing owner; ad-hoc reviews.</t>
  </si>
  <si>
    <t xml:space="preserve">3 — Clear pricing-strategy owner / deal-desk lead; cadence; dashboard.</t>
  </si>
  <si>
    <t xml:space="preserve">4 — Exec-level pricing committee; segment owners drive.</t>
  </si>
  <si>
    <t xml:space="preserve">5 — Board-visible pricing program with predictive metrics.</t>
  </si>
  <si>
    <t xml:space="preserve">1 — No cadence for pricing reviews.</t>
  </si>
  <si>
    <t xml:space="preserve">2 — Ad-hoc pricing reviews; reports lag the action.</t>
  </si>
  <si>
    <t xml:space="preserve">3 — Regular pricing cadence (committee, governance).</t>
  </si>
  <si>
    <t xml:space="preserve">4 — Exec cadence; integrated with broader business reviews.</t>
  </si>
  <si>
    <t xml:space="preserve">1 — No pricing dashboards.</t>
  </si>
  <si>
    <t xml:space="preserve">2 — Basic pricing dashboards but stale or disputed.</t>
  </si>
  <si>
    <t xml:space="preserve">3 — Trusted pricing dashboards update reliably.</t>
  </si>
  <si>
    <t xml:space="preserve">4 — Live exec pricing dashboards integrated across systems.</t>
  </si>
  <si>
    <t xml:space="preserve">5 — AI-native pricing dashboards; predictive metrics flag shifts.</t>
  </si>
  <si>
    <t xml:space="preserve">1 — Pricing metrics not trusted.</t>
  </si>
  <si>
    <t xml:space="preserve">2 — Some pricing metrics tracked but disputed.</t>
  </si>
  <si>
    <t xml:space="preserve">3 — Pricing metrics (ASP, discount) trusted at department level.</t>
  </si>
  <si>
    <t xml:space="preserve">4 — Pricing metrics trusted at exec level; current and joined.</t>
  </si>
  <si>
    <t xml:space="preserve">5 — Pricing metrics trusted at board level; predictive.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</si>
</sst>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4748B"/>
      <name val="Calibri"/>
      <family val="0"/>
      <charset val="1"/>
    </font>
    <font>
      <b val="true"/>
      <i val="true"/>
      <sz val="20"/>
      <color rgb="FF002337"/>
      <name val="Georgia"/>
      <family val="0"/>
      <charset val="1"/>
    </font>
    <font>
      <b val="true"/>
      <sz val="12"/>
      <color rgb="FF002337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i val="true"/>
      <sz val="13"/>
      <color rgb="FFFFFFFF"/>
      <name val="Georgia"/>
      <family val="0"/>
      <charset val="1"/>
    </font>
    <font>
      <sz val="11"/>
      <color rgb="FF0000FF"/>
      <name val="Calibri"/>
      <family val="0"/>
      <charset val="1"/>
    </font>
    <font>
      <b val="true"/>
      <sz val="18"/>
      <color rgb="FF002337"/>
      <name val="Georgia"/>
      <family val="0"/>
      <charset val="1"/>
    </font>
    <font>
      <b val="true"/>
      <sz val="18"/>
      <color rgb="FF133B54"/>
      <name val="Georgia"/>
      <family val="0"/>
      <charset val="1"/>
    </font>
    <font>
      <b val="true"/>
      <sz val="14"/>
      <color rgb="FF133B54"/>
      <name val="Georgia"/>
      <family val="0"/>
      <charset val="1"/>
    </font>
    <font>
      <sz val="9"/>
      <color rgb="FF64748B"/>
      <name val="Calibri"/>
      <family val="0"/>
      <charset val="1"/>
    </font>
    <font>
      <b val="true"/>
      <i val="true"/>
      <sz val="14"/>
      <color rgb="FFFFFFFF"/>
      <name val="Georgia"/>
      <family val="0"/>
      <charset val="1"/>
    </font>
    <font>
      <sz val="10"/>
      <color rgb="FF1E293B"/>
      <name val="Calibri"/>
      <family val="0"/>
      <charset val="1"/>
    </font>
    <font>
      <b val="true"/>
      <sz val="13"/>
      <color rgb="FF002337"/>
      <name val="Georgia"/>
      <family val="0"/>
      <charset val="1"/>
    </font>
    <font>
      <sz val="10"/>
      <name val="Arial"/>
      <family val="2"/>
    </font>
    <font>
      <b val="true"/>
      <sz val="22"/>
      <color rgb="FF002337"/>
      <name val="Georgia"/>
      <family val="0"/>
      <charset val="1"/>
    </font>
    <font>
      <b val="true"/>
      <sz val="22"/>
      <color rgb="FF133B54"/>
      <name val="Georgia"/>
      <family val="0"/>
      <charset val="1"/>
    </font>
    <font>
      <b val="true"/>
      <sz val="11"/>
      <color rgb="FF002337"/>
      <name val="Georgia"/>
      <family val="0"/>
      <charset val="1"/>
    </font>
    <font>
      <b val="true"/>
      <sz val="12"/>
      <color rgb="FF002337"/>
      <name val="Georgia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02337"/>
        <bgColor rgb="FF1E293B"/>
      </patternFill>
    </fill>
    <fill>
      <patternFill patternType="solid">
        <fgColor rgb="FFFECACA"/>
        <bgColor rgb="FFFED7AA"/>
      </patternFill>
    </fill>
    <fill>
      <patternFill patternType="solid">
        <fgColor rgb="FFFED7AA"/>
        <bgColor rgb="FFFECACA"/>
      </patternFill>
    </fill>
    <fill>
      <patternFill patternType="solid">
        <fgColor rgb="FFBFDBFE"/>
        <bgColor rgb="FFCBD5E1"/>
      </patternFill>
    </fill>
    <fill>
      <patternFill patternType="solid">
        <fgColor rgb="FFA7F3D0"/>
        <bgColor rgb="FFCCFBF1"/>
      </patternFill>
    </fill>
    <fill>
      <patternFill patternType="solid">
        <fgColor rgb="FF6EE7B7"/>
        <bgColor rgb="FFA7F3D0"/>
      </patternFill>
    </fill>
    <fill>
      <patternFill patternType="solid">
        <fgColor rgb="FF2563EB"/>
        <bgColor rgb="FF0066CC"/>
      </patternFill>
    </fill>
    <fill>
      <patternFill patternType="solid">
        <fgColor rgb="FFFEF3C7"/>
        <bgColor rgb="FFFEF9E7"/>
      </patternFill>
    </fill>
    <fill>
      <patternFill patternType="solid">
        <fgColor rgb="FFDBEAFE"/>
        <bgColor rgb="FFEFF6FF"/>
      </patternFill>
    </fill>
    <fill>
      <patternFill patternType="solid">
        <fgColor rgb="FFF1F5F9"/>
        <bgColor rgb="FFEFF6FF"/>
      </patternFill>
    </fill>
    <fill>
      <patternFill patternType="solid">
        <fgColor rgb="FF1E3A8A"/>
        <bgColor rgb="FF133B54"/>
      </patternFill>
    </fill>
    <fill>
      <patternFill patternType="solid">
        <fgColor rgb="FF133B54"/>
        <bgColor rgb="FF0F3A52"/>
      </patternFill>
    </fill>
    <fill>
      <patternFill patternType="solid">
        <fgColor rgb="FFCCFBF1"/>
        <bgColor rgb="FFD1FAE5"/>
      </patternFill>
    </fill>
    <fill>
      <patternFill patternType="solid">
        <fgColor rgb="FFE9D5FF"/>
        <bgColor rgb="FFDBEAFE"/>
      </patternFill>
    </fill>
    <fill>
      <patternFill patternType="solid">
        <fgColor rgb="FF0F3A52"/>
        <bgColor rgb="FF133B54"/>
      </patternFill>
    </fill>
    <fill>
      <patternFill patternType="solid">
        <fgColor rgb="FFD1FAE5"/>
        <bgColor rgb="FFCCFBF1"/>
      </patternFill>
    </fill>
    <fill>
      <patternFill patternType="solid">
        <fgColor rgb="FFEFF6FF"/>
        <bgColor rgb="FFF1F5F9"/>
      </patternFill>
    </fill>
    <fill>
      <patternFill patternType="solid">
        <fgColor rgb="FFFEF9E7"/>
        <bgColor rgb="FFFAF5FF"/>
      </patternFill>
    </fill>
    <fill>
      <patternFill patternType="solid">
        <fgColor rgb="FFECFDF5"/>
        <bgColor rgb="FFEFF6FF"/>
      </patternFill>
    </fill>
    <fill>
      <patternFill patternType="solid">
        <fgColor rgb="FFFAF5FF"/>
        <bgColor rgb="FFF1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  <dxf>
      <fill>
        <patternFill>
          <bgColor rgb="FFFED7AA"/>
        </patternFill>
      </fill>
    </dxf>
    <dxf>
      <fill>
        <patternFill>
          <bgColor rgb="FFBFDBFE"/>
        </patternFill>
      </fill>
    </dxf>
    <dxf>
      <fill>
        <patternFill>
          <bgColor rgb="FFA7F3D0"/>
        </patternFill>
      </fill>
    </dxf>
    <dxf>
      <fill>
        <patternFill>
          <bgColor rgb="FF6EE7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D5FF"/>
      <rgbColor rgb="FF475569"/>
      <rgbColor rgb="FFA7F3D0"/>
      <rgbColor rgb="FF993366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AF5FF"/>
      <rgbColor rgb="FF00FFFF"/>
      <rgbColor rgb="FF800080"/>
      <rgbColor rgb="FF800000"/>
      <rgbColor rgb="FF008080"/>
      <rgbColor rgb="FF0000FF"/>
      <rgbColor rgb="FF00CCFF"/>
      <rgbColor rgb="FFECFDF5"/>
      <rgbColor rgb="FFD1FAE5"/>
      <rgbColor rgb="FFFEF9E7"/>
      <rgbColor rgb="FFBFDBFE"/>
      <rgbColor rgb="FFFECACA"/>
      <rgbColor rgb="FFDBEAFE"/>
      <rgbColor rgb="FFFED7AA"/>
      <rgbColor rgb="FF2563EB"/>
      <rgbColor rgb="FF6EE7B7"/>
      <rgbColor rgb="FF99CC00"/>
      <rgbColor rgb="FFEFF6FF"/>
      <rgbColor rgb="FFFF9900"/>
      <rgbColor rgb="FFFF6600"/>
      <rgbColor rgb="FF64748B"/>
      <rgbColor rgb="FF969696"/>
      <rgbColor rgb="FF0F3A52"/>
      <rgbColor rgb="FF339966"/>
      <rgbColor rgb="FF002337"/>
      <rgbColor rgb="FF133B54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95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60" hidden="false" customHeight="true" outlineLevel="0" collapsed="false">
      <c r="B6" s="4" t="s">
        <v>3</v>
      </c>
      <c r="C6" s="4"/>
      <c r="D6" s="4"/>
    </row>
    <row r="8" customFormat="false" ht="15" hidden="false" customHeight="false" outlineLevel="0" collapsed="false">
      <c r="B8" s="3" t="s">
        <v>4</v>
      </c>
      <c r="C8" s="3"/>
      <c r="D8" s="3"/>
    </row>
    <row r="9" customFormat="false" ht="69.75" hidden="false" customHeight="true" outlineLevel="0" collapsed="false">
      <c r="B9" s="4" t="s">
        <v>5</v>
      </c>
      <c r="C9" s="4"/>
      <c r="D9" s="4"/>
    </row>
    <row r="11" customFormat="false" ht="37.5" hidden="false" customHeight="true" outlineLevel="0" collapsed="false">
      <c r="B11" s="5" t="s">
        <v>6</v>
      </c>
      <c r="C11" s="5" t="s">
        <v>7</v>
      </c>
      <c r="D11" s="6" t="s">
        <v>8</v>
      </c>
    </row>
    <row r="12" customFormat="false" ht="37.5" hidden="false" customHeight="true" outlineLevel="0" collapsed="false">
      <c r="B12" s="5" t="s">
        <v>9</v>
      </c>
      <c r="C12" s="5" t="s">
        <v>10</v>
      </c>
      <c r="D12" s="6" t="s">
        <v>11</v>
      </c>
    </row>
    <row r="13" customFormat="false" ht="37.5" hidden="false" customHeight="true" outlineLevel="0" collapsed="false">
      <c r="B13" s="5" t="s">
        <v>12</v>
      </c>
      <c r="C13" s="5" t="s">
        <v>13</v>
      </c>
      <c r="D13" s="6" t="s">
        <v>14</v>
      </c>
    </row>
    <row r="14" customFormat="false" ht="37.5" hidden="false" customHeight="true" outlineLevel="0" collapsed="false">
      <c r="B14" s="5" t="s">
        <v>15</v>
      </c>
      <c r="C14" s="5" t="s">
        <v>16</v>
      </c>
      <c r="D14" s="6" t="s">
        <v>17</v>
      </c>
    </row>
    <row r="16" customFormat="false" ht="15" hidden="false" customHeight="false" outlineLevel="0" collapsed="false">
      <c r="B16" s="3" t="s">
        <v>18</v>
      </c>
      <c r="C16" s="3"/>
      <c r="D16" s="3"/>
    </row>
    <row r="17" customFormat="false" ht="21.75" hidden="false" customHeight="true" outlineLevel="0" collapsed="false">
      <c r="B17" s="4" t="s">
        <v>19</v>
      </c>
      <c r="C17" s="4"/>
      <c r="D17" s="4"/>
    </row>
    <row r="19" customFormat="false" ht="21.75" hidden="false" customHeight="true" outlineLevel="0" collapsed="false">
      <c r="B19" s="7" t="s">
        <v>20</v>
      </c>
      <c r="C19" s="7" t="s">
        <v>21</v>
      </c>
      <c r="D19" s="7" t="s">
        <v>22</v>
      </c>
      <c r="E19" s="7" t="s">
        <v>23</v>
      </c>
    </row>
    <row r="20" customFormat="false" ht="39.75" hidden="false" customHeight="true" outlineLevel="0" collapsed="false">
      <c r="B20" s="8" t="n">
        <v>1</v>
      </c>
      <c r="C20" s="9" t="s">
        <v>24</v>
      </c>
      <c r="D20" s="10" t="s">
        <v>25</v>
      </c>
    </row>
    <row r="21" customFormat="false" ht="39.75" hidden="false" customHeight="true" outlineLevel="0" collapsed="false">
      <c r="B21" s="11" t="n">
        <v>2</v>
      </c>
      <c r="C21" s="9" t="s">
        <v>26</v>
      </c>
      <c r="D21" s="10" t="s">
        <v>27</v>
      </c>
    </row>
    <row r="22" customFormat="false" ht="39.75" hidden="false" customHeight="true" outlineLevel="0" collapsed="false">
      <c r="B22" s="12" t="n">
        <v>3</v>
      </c>
      <c r="C22" s="9" t="s">
        <v>28</v>
      </c>
      <c r="D22" s="10" t="s">
        <v>29</v>
      </c>
    </row>
    <row r="23" customFormat="false" ht="39.75" hidden="false" customHeight="true" outlineLevel="0" collapsed="false">
      <c r="B23" s="13" t="n">
        <v>4</v>
      </c>
      <c r="C23" s="9" t="s">
        <v>30</v>
      </c>
      <c r="D23" s="10" t="s">
        <v>31</v>
      </c>
    </row>
    <row r="24" customFormat="false" ht="39.75" hidden="false" customHeight="true" outlineLevel="0" collapsed="false">
      <c r="B24" s="14" t="n">
        <v>5</v>
      </c>
      <c r="C24" s="9" t="s">
        <v>32</v>
      </c>
      <c r="D24" s="10" t="s">
        <v>33</v>
      </c>
    </row>
    <row r="26" customFormat="false" ht="15" hidden="false" customHeight="false" outlineLevel="0" collapsed="false">
      <c r="B26" s="3" t="s">
        <v>34</v>
      </c>
      <c r="C26" s="3"/>
      <c r="D26" s="3"/>
    </row>
    <row r="27" customFormat="false" ht="36" hidden="false" customHeight="true" outlineLevel="0" collapsed="false">
      <c r="B27" s="4" t="s">
        <v>35</v>
      </c>
      <c r="C27" s="4"/>
      <c r="D27" s="4"/>
    </row>
    <row r="28" customFormat="false" ht="36" hidden="false" customHeight="true" outlineLevel="0" collapsed="false">
      <c r="B28" s="4" t="s">
        <v>36</v>
      </c>
      <c r="C28" s="4"/>
      <c r="D28" s="4"/>
    </row>
    <row r="29" customFormat="false" ht="36" hidden="false" customHeight="true" outlineLevel="0" collapsed="false">
      <c r="B29" s="4" t="s">
        <v>37</v>
      </c>
      <c r="C29" s="4"/>
      <c r="D29" s="4"/>
    </row>
    <row r="30" customFormat="false" ht="36" hidden="false" customHeight="true" outlineLevel="0" collapsed="false">
      <c r="B30" s="4" t="s">
        <v>38</v>
      </c>
      <c r="C30" s="4"/>
      <c r="D30" s="4"/>
    </row>
    <row r="31" customFormat="false" ht="36" hidden="false" customHeight="true" outlineLevel="0" collapsed="false">
      <c r="B31" s="4" t="s">
        <v>39</v>
      </c>
      <c r="C31" s="4"/>
      <c r="D31" s="4"/>
    </row>
  </sheetData>
  <mergeCells count="13">
    <mergeCell ref="B3:D3"/>
    <mergeCell ref="B5:D5"/>
    <mergeCell ref="B6:D6"/>
    <mergeCell ref="B8:D8"/>
    <mergeCell ref="B9:D9"/>
    <mergeCell ref="B16:D16"/>
    <mergeCell ref="B17:D17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8" min="7" style="0" width="4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40</v>
      </c>
      <c r="C3" s="2"/>
      <c r="D3" s="2"/>
      <c r="E3" s="2"/>
      <c r="F3" s="2"/>
    </row>
    <row r="4" customFormat="false" ht="21.75" hidden="false" customHeight="true" outlineLevel="0" collapsed="false">
      <c r="B4" s="15" t="s">
        <v>41</v>
      </c>
      <c r="C4" s="15"/>
      <c r="D4" s="15"/>
      <c r="E4" s="15"/>
      <c r="F4" s="15"/>
    </row>
    <row r="6" customFormat="false" ht="30" hidden="false" customHeight="true" outlineLevel="0" collapsed="false">
      <c r="B6" s="16" t="s">
        <v>42</v>
      </c>
      <c r="C6" s="16"/>
      <c r="D6" s="16"/>
      <c r="E6" s="16"/>
      <c r="F6" s="16"/>
    </row>
    <row r="8" customFormat="false" ht="15" hidden="false" customHeight="false" outlineLevel="0" collapsed="false">
      <c r="B8" s="1" t="s">
        <v>43</v>
      </c>
    </row>
    <row r="9" customFormat="false" ht="21.75" hidden="false" customHeight="true" outlineLevel="0" collapsed="false">
      <c r="B9" s="7" t="s">
        <v>44</v>
      </c>
      <c r="C9" s="7" t="s">
        <v>45</v>
      </c>
      <c r="D9" s="7" t="s">
        <v>46</v>
      </c>
      <c r="E9" s="7" t="s">
        <v>47</v>
      </c>
    </row>
    <row r="10" customFormat="false" ht="31.5" hidden="false" customHeight="true" outlineLevel="0" collapsed="false">
      <c r="B10" s="9" t="s">
        <v>48</v>
      </c>
      <c r="C10" s="17" t="s">
        <v>49</v>
      </c>
      <c r="D10" s="17" t="s">
        <v>50</v>
      </c>
      <c r="E10" s="18"/>
    </row>
    <row r="11" customFormat="false" ht="31.5" hidden="false" customHeight="true" outlineLevel="0" collapsed="false">
      <c r="B11" s="9" t="s">
        <v>51</v>
      </c>
      <c r="C11" s="17" t="s">
        <v>52</v>
      </c>
      <c r="D11" s="17" t="s">
        <v>53</v>
      </c>
      <c r="E11" s="18"/>
    </row>
    <row r="12" customFormat="false" ht="31.5" hidden="false" customHeight="true" outlineLevel="0" collapsed="false">
      <c r="B12" s="9" t="s">
        <v>54</v>
      </c>
      <c r="C12" s="17" t="s">
        <v>55</v>
      </c>
      <c r="D12" s="17" t="s">
        <v>56</v>
      </c>
      <c r="E12" s="18"/>
    </row>
    <row r="13" customFormat="false" ht="31.5" hidden="false" customHeight="true" outlineLevel="0" collapsed="false">
      <c r="B13" s="9" t="s">
        <v>57</v>
      </c>
      <c r="C13" s="17" t="s">
        <v>58</v>
      </c>
      <c r="D13" s="17" t="s">
        <v>59</v>
      </c>
      <c r="E13" s="18"/>
    </row>
    <row r="16" customFormat="false" ht="15" hidden="false" customHeight="false" outlineLevel="0" collapsed="false">
      <c r="B16" s="1" t="s">
        <v>60</v>
      </c>
    </row>
    <row r="17" customFormat="false" ht="21.75" hidden="false" customHeight="true" outlineLevel="0" collapsed="false">
      <c r="B17" s="7" t="s">
        <v>61</v>
      </c>
      <c r="C17" s="7" t="s">
        <v>62</v>
      </c>
      <c r="D17" s="7" t="s">
        <v>63</v>
      </c>
      <c r="E17" s="7" t="s">
        <v>64</v>
      </c>
    </row>
    <row r="18" customFormat="false" ht="36" hidden="false" customHeight="true" outlineLevel="0" collapsed="false">
      <c r="B18" s="19" t="s">
        <v>65</v>
      </c>
      <c r="C18" s="17" t="s">
        <v>66</v>
      </c>
      <c r="D18" s="20" t="str">
        <f aca="false">IF(OR(E10="",E10=0),"",(E10+IFERROR(E11,0)-IFERROR(E12,0)-IFERROR(E13,0))/E10)</f>
        <v/>
      </c>
      <c r="E18" s="9" t="str">
        <f aca="false">IF(D18="","Enter the four components",IF(D18&gt;=1.2,"World-class — best-in-class PE territory",IF(D18&gt;=1.1,"Strong — PE investment threshold",IF(D18&gt;=1,"Net positive — but exposed",IF(D18&gt;=0.9,"Eroding base — material risk","Significant decline — urgent attention")))))</f>
        <v>Enter the four components</v>
      </c>
    </row>
    <row r="19" customFormat="false" ht="30" hidden="false" customHeight="true" outlineLevel="0" collapsed="false">
      <c r="B19" s="19" t="s">
        <v>67</v>
      </c>
      <c r="C19" s="17" t="s">
        <v>68</v>
      </c>
      <c r="D19" s="21" t="str">
        <f aca="false">IF(OR(E10="",E10=0),"",(E10-IFERROR(E12,0)-IFERROR(E13,0))/E10)</f>
        <v/>
      </c>
      <c r="E19" s="22" t="s">
        <v>69</v>
      </c>
    </row>
    <row r="20" customFormat="false" ht="30" hidden="false" customHeight="true" outlineLevel="0" collapsed="false">
      <c r="B20" s="19" t="s">
        <v>70</v>
      </c>
      <c r="C20" s="17" t="s">
        <v>71</v>
      </c>
      <c r="D20" s="23" t="n">
        <f aca="false">IFERROR(E11,0)-IFERROR(E12,0)-IFERROR(E13,0)</f>
        <v>0</v>
      </c>
      <c r="E20" s="22" t="str">
        <f aca="false">IF(D20=0,"-",IF(D20&gt;0,"Net expansion within cohort","Net contraction within cohort"))</f>
        <v>-</v>
      </c>
    </row>
  </sheetData>
  <mergeCells count="3">
    <mergeCell ref="B3:F3"/>
    <mergeCell ref="B4:F4"/>
    <mergeCell ref="B6:F6"/>
  </mergeCells>
  <conditionalFormatting sqref="D18">
    <cfRule type="cellIs" priority="2" operator="lessThan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0.9</formula>
      <formula>1</formula>
    </cfRule>
    <cfRule type="cellIs" priority="4" operator="greaterThanOrEqual" aboveAverage="0" equalAverage="0" bottom="0" percent="0" rank="0" text="" dxfId="2">
      <formula>1.1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9" min="6" style="0" width="36"/>
    <col collapsed="false" customWidth="true" hidden="false" outlineLevel="0" max="10" min="10" style="0" width="11"/>
    <col collapsed="false" customWidth="true" hidden="true" outlineLevel="0" max="14" min="11" style="0" width="4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72</v>
      </c>
      <c r="C3" s="2"/>
      <c r="D3" s="2"/>
      <c r="E3" s="2"/>
      <c r="F3" s="2"/>
      <c r="G3" s="2"/>
      <c r="H3" s="2"/>
      <c r="I3" s="2"/>
      <c r="J3" s="2"/>
    </row>
    <row r="4" customFormat="false" ht="37.5" hidden="false" customHeight="true" outlineLevel="0" collapsed="false">
      <c r="B4" s="15" t="s">
        <v>73</v>
      </c>
      <c r="C4" s="15"/>
      <c r="D4" s="15"/>
      <c r="E4" s="15"/>
      <c r="F4" s="15"/>
      <c r="G4" s="15"/>
      <c r="H4" s="15"/>
      <c r="I4" s="15"/>
      <c r="J4" s="15"/>
    </row>
    <row r="5" customFormat="false" ht="21.75" hidden="false" customHeight="true" outlineLevel="0" collapsed="false">
      <c r="B5" s="24" t="s">
        <v>74</v>
      </c>
      <c r="C5" s="24"/>
      <c r="D5" s="24"/>
      <c r="E5" s="24"/>
      <c r="F5" s="24"/>
      <c r="G5" s="24"/>
      <c r="H5" s="24"/>
      <c r="I5" s="24"/>
      <c r="J5" s="24"/>
    </row>
    <row r="7" customFormat="false" ht="30" hidden="false" customHeight="true" outlineLevel="0" collapsed="false">
      <c r="B7" s="25" t="s">
        <v>75</v>
      </c>
      <c r="C7" s="25"/>
      <c r="D7" s="25"/>
      <c r="E7" s="25"/>
      <c r="F7" s="25"/>
      <c r="G7" s="25"/>
      <c r="H7" s="25"/>
      <c r="I7" s="25"/>
      <c r="J7" s="25"/>
    </row>
    <row r="8" customFormat="false" ht="21.75" hidden="false" customHeight="true" outlineLevel="0" collapsed="false">
      <c r="B8" s="26" t="s">
        <v>76</v>
      </c>
      <c r="C8" s="26"/>
      <c r="D8" s="26"/>
      <c r="E8" s="26"/>
      <c r="F8" s="26"/>
      <c r="G8" s="26"/>
      <c r="H8" s="26"/>
      <c r="I8" s="26"/>
      <c r="J8" s="26"/>
    </row>
    <row r="9" customFormat="false" ht="25.5" hidden="false" customHeight="true" outlineLevel="0" collapsed="false">
      <c r="B9" s="27" t="s">
        <v>77</v>
      </c>
      <c r="C9" s="27" t="s">
        <v>21</v>
      </c>
      <c r="D9" s="27" t="s">
        <v>78</v>
      </c>
      <c r="E9" s="27" t="s">
        <v>79</v>
      </c>
      <c r="F9" s="28" t="s">
        <v>80</v>
      </c>
      <c r="G9" s="28"/>
      <c r="H9" s="28"/>
      <c r="I9" s="28"/>
      <c r="J9" s="27" t="s">
        <v>20</v>
      </c>
    </row>
    <row r="10" customFormat="false" ht="39.75" hidden="false" customHeight="true" outlineLevel="0" collapsed="false">
      <c r="B10" s="29" t="s">
        <v>81</v>
      </c>
      <c r="C10" s="9" t="s">
        <v>82</v>
      </c>
      <c r="D10" s="30" t="s">
        <v>83</v>
      </c>
      <c r="E10" s="10" t="s">
        <v>84</v>
      </c>
      <c r="F10" s="31"/>
      <c r="G10" s="31"/>
      <c r="H10" s="31"/>
      <c r="I10" s="31"/>
      <c r="J10" s="32" t="str">
        <f aca="false">IF(K10="","",K10)</f>
        <v/>
      </c>
      <c r="K10" s="33" t="str">
        <f aca="false">IF(F10="","",VALUE(LEFT(F10,1)))</f>
        <v/>
      </c>
    </row>
    <row r="11" customFormat="false" ht="39.75" hidden="false" customHeight="true" outlineLevel="0" collapsed="false">
      <c r="B11" s="29" t="s">
        <v>85</v>
      </c>
      <c r="C11" s="9" t="s">
        <v>86</v>
      </c>
      <c r="D11" s="30" t="s">
        <v>83</v>
      </c>
      <c r="E11" s="10" t="s">
        <v>87</v>
      </c>
      <c r="F11" s="31"/>
      <c r="G11" s="31"/>
      <c r="H11" s="31"/>
      <c r="I11" s="31"/>
      <c r="J11" s="32" t="str">
        <f aca="false">IF(K11="","",K11)</f>
        <v/>
      </c>
      <c r="K11" s="33" t="str">
        <f aca="false">IF(F11="","",VALUE(LEFT(F11,1)))</f>
        <v/>
      </c>
    </row>
    <row r="12" customFormat="false" ht="39.75" hidden="false" customHeight="true" outlineLevel="0" collapsed="false">
      <c r="B12" s="29" t="s">
        <v>88</v>
      </c>
      <c r="C12" s="9" t="s">
        <v>89</v>
      </c>
      <c r="D12" s="34" t="s">
        <v>90</v>
      </c>
      <c r="E12" s="10" t="s">
        <v>91</v>
      </c>
      <c r="F12" s="31"/>
      <c r="G12" s="31"/>
      <c r="H12" s="31"/>
      <c r="I12" s="31"/>
      <c r="J12" s="32" t="str">
        <f aca="false">IF(K12="","",K12)</f>
        <v/>
      </c>
      <c r="K12" s="33" t="str">
        <f aca="false">IF(F12="","",VALUE(LEFT(F12,1)))</f>
        <v/>
      </c>
    </row>
    <row r="13" customFormat="false" ht="39.75" hidden="false" customHeight="true" outlineLevel="0" collapsed="false">
      <c r="B13" s="29" t="s">
        <v>92</v>
      </c>
      <c r="C13" s="9" t="s">
        <v>93</v>
      </c>
      <c r="D13" s="34" t="s">
        <v>90</v>
      </c>
      <c r="E13" s="10" t="s">
        <v>94</v>
      </c>
      <c r="F13" s="31"/>
      <c r="G13" s="31"/>
      <c r="H13" s="31"/>
      <c r="I13" s="31"/>
      <c r="J13" s="32" t="str">
        <f aca="false">IF(K13="","",K13)</f>
        <v/>
      </c>
      <c r="K13" s="33" t="str">
        <f aca="false">IF(F13="","",VALUE(LEFT(F13,1)))</f>
        <v/>
      </c>
    </row>
    <row r="14" customFormat="false" ht="39.75" hidden="false" customHeight="true" outlineLevel="0" collapsed="false">
      <c r="B14" s="29" t="s">
        <v>95</v>
      </c>
      <c r="C14" s="9" t="s">
        <v>96</v>
      </c>
      <c r="D14" s="35" t="s">
        <v>97</v>
      </c>
      <c r="E14" s="10" t="s">
        <v>98</v>
      </c>
      <c r="F14" s="31"/>
      <c r="G14" s="31"/>
      <c r="H14" s="31"/>
      <c r="I14" s="31"/>
      <c r="J14" s="32" t="str">
        <f aca="false">IF(K14="","",K14)</f>
        <v/>
      </c>
      <c r="K14" s="33" t="str">
        <f aca="false">IF(F14="","",VALUE(LEFT(F14,1)))</f>
        <v/>
      </c>
    </row>
    <row r="15" customFormat="false" ht="39.75" hidden="false" customHeight="true" outlineLevel="0" collapsed="false">
      <c r="B15" s="29" t="s">
        <v>99</v>
      </c>
      <c r="C15" s="9" t="s">
        <v>100</v>
      </c>
      <c r="D15" s="35" t="s">
        <v>97</v>
      </c>
      <c r="E15" s="10" t="s">
        <v>101</v>
      </c>
      <c r="F15" s="31"/>
      <c r="G15" s="31"/>
      <c r="H15" s="31"/>
      <c r="I15" s="31"/>
      <c r="J15" s="32" t="str">
        <f aca="false">IF(K15="","",K15)</f>
        <v/>
      </c>
      <c r="K15" s="33" t="str">
        <f aca="false">IF(F15="","",VALUE(LEFT(F15,1)))</f>
        <v/>
      </c>
    </row>
    <row r="16" customFormat="false" ht="39.75" hidden="false" customHeight="true" outlineLevel="0" collapsed="false">
      <c r="B16" s="29" t="s">
        <v>102</v>
      </c>
      <c r="C16" s="9" t="s">
        <v>103</v>
      </c>
      <c r="D16" s="35" t="s">
        <v>97</v>
      </c>
      <c r="E16" s="10" t="s">
        <v>104</v>
      </c>
      <c r="F16" s="31"/>
      <c r="G16" s="31"/>
      <c r="H16" s="31"/>
      <c r="I16" s="31"/>
      <c r="J16" s="32" t="str">
        <f aca="false">IF(K16="","",K16)</f>
        <v/>
      </c>
      <c r="K16" s="33" t="str">
        <f aca="false">IF(F16="","",VALUE(LEFT(F16,1)))</f>
        <v/>
      </c>
    </row>
    <row r="17" customFormat="false" ht="25.5" hidden="false" customHeight="true" outlineLevel="0" collapsed="false">
      <c r="B17" s="36" t="s">
        <v>105</v>
      </c>
      <c r="C17" s="36"/>
      <c r="D17" s="36"/>
      <c r="E17" s="36"/>
      <c r="F17" s="37"/>
      <c r="G17" s="37"/>
      <c r="H17" s="37"/>
      <c r="I17" s="37"/>
      <c r="J17" s="38" t="str">
        <f aca="false">IF((IF(ISNUMBER(J10),0.18,0)+IF(ISNUMBER(J11),0.15,0)+IF(ISNUMBER(J12),0.15,0)+IF(ISNUMBER(J13),0.12,0)+IF(ISNUMBER(J14),0.12,0)+IF(ISNUMBER(J15),0.15,0)+IF(ISNUMBER(J16),0.13,0))=0,"",(IF(ISNUMBER(J10),J10*0.18,0)+IF(ISNUMBER(J11),J11*0.15,0)+IF(ISNUMBER(J12),J12*0.15,0)+IF(ISNUMBER(J13),J13*0.12,0)+IF(ISNUMBER(J14),J14*0.12,0)+IF(ISNUMBER(J15),J15*0.15,0)+IF(ISNUMBER(J16),J16*0.13,0))/(IF(ISNUMBER(J10),0.18,0)+IF(ISNUMBER(J11),0.15,0)+IF(ISNUMBER(J12),0.15,0)+IF(ISNUMBER(J13),0.12,0)+IF(ISNUMBER(J14),0.12,0)+IF(ISNUMBER(J15),0.15,0)+IF(ISNUMBER(J16),0.13,0)))</f>
        <v/>
      </c>
    </row>
    <row r="19" customFormat="false" ht="30" hidden="false" customHeight="true" outlineLevel="0" collapsed="false">
      <c r="B19" s="39" t="s">
        <v>106</v>
      </c>
      <c r="C19" s="39"/>
      <c r="D19" s="39"/>
      <c r="E19" s="39"/>
      <c r="F19" s="39"/>
      <c r="G19" s="39"/>
      <c r="H19" s="39"/>
      <c r="I19" s="39"/>
      <c r="J19" s="39"/>
    </row>
    <row r="20" customFormat="false" ht="21.75" hidden="false" customHeight="true" outlineLevel="0" collapsed="false">
      <c r="B20" s="26" t="s">
        <v>107</v>
      </c>
      <c r="C20" s="26"/>
      <c r="D20" s="26"/>
      <c r="E20" s="26"/>
      <c r="F20" s="26"/>
      <c r="G20" s="26"/>
      <c r="H20" s="26"/>
      <c r="I20" s="26"/>
      <c r="J20" s="26"/>
    </row>
    <row r="21" customFormat="false" ht="25.5" hidden="false" customHeight="true" outlineLevel="0" collapsed="false">
      <c r="B21" s="27" t="s">
        <v>108</v>
      </c>
      <c r="C21" s="27" t="s">
        <v>21</v>
      </c>
      <c r="D21" s="27" t="s">
        <v>78</v>
      </c>
      <c r="E21" s="27" t="s">
        <v>79</v>
      </c>
      <c r="F21" s="27" t="s">
        <v>109</v>
      </c>
      <c r="G21" s="27" t="s">
        <v>110</v>
      </c>
      <c r="H21" s="27" t="s">
        <v>111</v>
      </c>
      <c r="I21" s="27" t="s">
        <v>112</v>
      </c>
      <c r="J21" s="27" t="s">
        <v>113</v>
      </c>
    </row>
    <row r="22" customFormat="false" ht="63.75" hidden="false" customHeight="true" outlineLevel="0" collapsed="false">
      <c r="B22" s="29" t="s">
        <v>114</v>
      </c>
      <c r="C22" s="9" t="s">
        <v>115</v>
      </c>
      <c r="D22" s="40" t="s">
        <v>116</v>
      </c>
      <c r="E22" s="10" t="s">
        <v>117</v>
      </c>
      <c r="F22" s="41"/>
      <c r="G22" s="41"/>
      <c r="H22" s="41"/>
      <c r="I22" s="41"/>
      <c r="J22" s="42" t="str">
        <f aca="false">IF((IF(ISNUMBER(K22),1,0)+IF(ISNUMBER(L22),1,0)+IF(ISNUMBER(M22),1,0)+IF(ISNUMBER(N22),1,0))=0,"",(IF(ISNUMBER(K22),K22,0)+IF(ISNUMBER(L22),L22,0)+IF(ISNUMBER(M22),M22,0)+IF(ISNUMBER(N22),N22,0))/(IF(ISNUMBER(K22),1,0)+IF(ISNUMBER(L22),1,0)+IF(ISNUMBER(M22),1,0)+IF(ISNUMBER(N22),1,0)))</f>
        <v/>
      </c>
      <c r="K22" s="33" t="str">
        <f aca="false">IF(F22="","",VALUE(LEFT(F22,1)))</f>
        <v/>
      </c>
      <c r="L22" s="33" t="str">
        <f aca="false">IF(G22="","",VALUE(LEFT(G22,1)))</f>
        <v/>
      </c>
      <c r="M22" s="33" t="str">
        <f aca="false">IF(H22="","",VALUE(LEFT(H22,1)))</f>
        <v/>
      </c>
      <c r="N22" s="33" t="str">
        <f aca="false">IF(I22="","",VALUE(LEFT(I22,1)))</f>
        <v/>
      </c>
    </row>
    <row r="23" customFormat="false" ht="63.75" hidden="false" customHeight="true" outlineLevel="0" collapsed="false">
      <c r="B23" s="29" t="s">
        <v>118</v>
      </c>
      <c r="C23" s="9" t="s">
        <v>119</v>
      </c>
      <c r="D23" s="40" t="s">
        <v>116</v>
      </c>
      <c r="E23" s="10" t="s">
        <v>120</v>
      </c>
      <c r="F23" s="41"/>
      <c r="G23" s="41"/>
      <c r="H23" s="41"/>
      <c r="I23" s="41"/>
      <c r="J23" s="42" t="str">
        <f aca="false">IF((IF(ISNUMBER(K23),1,0)+IF(ISNUMBER(L23),1,0)+IF(ISNUMBER(M23),1,0)+IF(ISNUMBER(N23),1,0))=0,"",(IF(ISNUMBER(K23),K23,0)+IF(ISNUMBER(L23),L23,0)+IF(ISNUMBER(M23),M23,0)+IF(ISNUMBER(N23),N23,0))/(IF(ISNUMBER(K23),1,0)+IF(ISNUMBER(L23),1,0)+IF(ISNUMBER(M23),1,0)+IF(ISNUMBER(N23),1,0)))</f>
        <v/>
      </c>
      <c r="K23" s="33" t="str">
        <f aca="false">IF(F23="","",VALUE(LEFT(F23,1)))</f>
        <v/>
      </c>
      <c r="L23" s="33" t="str">
        <f aca="false">IF(G23="","",VALUE(LEFT(G23,1)))</f>
        <v/>
      </c>
      <c r="M23" s="33" t="str">
        <f aca="false">IF(H23="","",VALUE(LEFT(H23,1)))</f>
        <v/>
      </c>
      <c r="N23" s="33" t="str">
        <f aca="false">IF(I23="","",VALUE(LEFT(I23,1)))</f>
        <v/>
      </c>
    </row>
    <row r="24" customFormat="false" ht="63.75" hidden="false" customHeight="true" outlineLevel="0" collapsed="false">
      <c r="B24" s="29" t="s">
        <v>121</v>
      </c>
      <c r="C24" s="9" t="s">
        <v>122</v>
      </c>
      <c r="D24" s="43" t="s">
        <v>123</v>
      </c>
      <c r="E24" s="10" t="s">
        <v>124</v>
      </c>
      <c r="F24" s="41"/>
      <c r="G24" s="41"/>
      <c r="H24" s="41"/>
      <c r="I24" s="41"/>
      <c r="J24" s="42" t="str">
        <f aca="false">IF((IF(ISNUMBER(K24),1,0)+IF(ISNUMBER(L24),1,0)+IF(ISNUMBER(M24),1,0)+IF(ISNUMBER(N24),1,0))=0,"",(IF(ISNUMBER(K24),K24,0)+IF(ISNUMBER(L24),L24,0)+IF(ISNUMBER(M24),M24,0)+IF(ISNUMBER(N24),N24,0))/(IF(ISNUMBER(K24),1,0)+IF(ISNUMBER(L24),1,0)+IF(ISNUMBER(M24),1,0)+IF(ISNUMBER(N24),1,0)))</f>
        <v/>
      </c>
      <c r="K24" s="33" t="str">
        <f aca="false">IF(F24="","",VALUE(LEFT(F24,1)))</f>
        <v/>
      </c>
      <c r="L24" s="33" t="str">
        <f aca="false">IF(G24="","",VALUE(LEFT(G24,1)))</f>
        <v/>
      </c>
      <c r="M24" s="33" t="str">
        <f aca="false">IF(H24="","",VALUE(LEFT(H24,1)))</f>
        <v/>
      </c>
      <c r="N24" s="33" t="str">
        <f aca="false">IF(I24="","",VALUE(LEFT(I24,1)))</f>
        <v/>
      </c>
    </row>
    <row r="25" customFormat="false" ht="63.75" hidden="false" customHeight="true" outlineLevel="0" collapsed="false">
      <c r="B25" s="29" t="s">
        <v>125</v>
      </c>
      <c r="C25" s="9" t="s">
        <v>126</v>
      </c>
      <c r="D25" s="43" t="s">
        <v>123</v>
      </c>
      <c r="E25" s="10" t="s">
        <v>127</v>
      </c>
      <c r="F25" s="41"/>
      <c r="G25" s="41"/>
      <c r="H25" s="41"/>
      <c r="I25" s="41"/>
      <c r="J25" s="42" t="str">
        <f aca="false">IF((IF(ISNUMBER(K25),1,0)+IF(ISNUMBER(L25),1,0)+IF(ISNUMBER(M25),1,0)+IF(ISNUMBER(N25),1,0))=0,"",(IF(ISNUMBER(K25),K25,0)+IF(ISNUMBER(L25),L25,0)+IF(ISNUMBER(M25),M25,0)+IF(ISNUMBER(N25),N25,0))/(IF(ISNUMBER(K25),1,0)+IF(ISNUMBER(L25),1,0)+IF(ISNUMBER(M25),1,0)+IF(ISNUMBER(N25),1,0)))</f>
        <v/>
      </c>
      <c r="K25" s="33" t="str">
        <f aca="false">IF(F25="","",VALUE(LEFT(F25,1)))</f>
        <v/>
      </c>
      <c r="L25" s="33" t="str">
        <f aca="false">IF(G25="","",VALUE(LEFT(G25,1)))</f>
        <v/>
      </c>
      <c r="M25" s="33" t="str">
        <f aca="false">IF(H25="","",VALUE(LEFT(H25,1)))</f>
        <v/>
      </c>
      <c r="N25" s="33" t="str">
        <f aca="false">IF(I25="","",VALUE(LEFT(I25,1)))</f>
        <v/>
      </c>
    </row>
    <row r="26" customFormat="false" ht="63.75" hidden="false" customHeight="true" outlineLevel="0" collapsed="false">
      <c r="B26" s="29" t="s">
        <v>128</v>
      </c>
      <c r="C26" s="9" t="s">
        <v>129</v>
      </c>
      <c r="D26" s="43" t="s">
        <v>123</v>
      </c>
      <c r="E26" s="10" t="s">
        <v>130</v>
      </c>
      <c r="F26" s="41"/>
      <c r="G26" s="41"/>
      <c r="H26" s="41"/>
      <c r="I26" s="41"/>
      <c r="J26" s="42" t="str">
        <f aca="false">IF((IF(ISNUMBER(K26),1,0)+IF(ISNUMBER(L26),1,0)+IF(ISNUMBER(M26),1,0)+IF(ISNUMBER(N26),1,0))=0,"",(IF(ISNUMBER(K26),K26,0)+IF(ISNUMBER(L26),L26,0)+IF(ISNUMBER(M26),M26,0)+IF(ISNUMBER(N26),N26,0))/(IF(ISNUMBER(K26),1,0)+IF(ISNUMBER(L26),1,0)+IF(ISNUMBER(M26),1,0)+IF(ISNUMBER(N26),1,0)))</f>
        <v/>
      </c>
      <c r="K26" s="33" t="str">
        <f aca="false">IF(F26="","",VALUE(LEFT(F26,1)))</f>
        <v/>
      </c>
      <c r="L26" s="33" t="str">
        <f aca="false">IF(G26="","",VALUE(LEFT(G26,1)))</f>
        <v/>
      </c>
      <c r="M26" s="33" t="str">
        <f aca="false">IF(H26="","",VALUE(LEFT(H26,1)))</f>
        <v/>
      </c>
      <c r="N26" s="33" t="str">
        <f aca="false">IF(I26="","",VALUE(LEFT(I26,1)))</f>
        <v/>
      </c>
    </row>
    <row r="27" customFormat="false" ht="63.75" hidden="false" customHeight="true" outlineLevel="0" collapsed="false">
      <c r="B27" s="29" t="s">
        <v>131</v>
      </c>
      <c r="C27" s="9" t="s">
        <v>132</v>
      </c>
      <c r="D27" s="44" t="s">
        <v>133</v>
      </c>
      <c r="E27" s="10" t="s">
        <v>134</v>
      </c>
      <c r="F27" s="41"/>
      <c r="G27" s="41"/>
      <c r="H27" s="41"/>
      <c r="I27" s="41"/>
      <c r="J27" s="42" t="str">
        <f aca="false">IF((IF(ISNUMBER(K27),1,0)+IF(ISNUMBER(L27),1,0)+IF(ISNUMBER(M27),1,0)+IF(ISNUMBER(N27),1,0))=0,"",(IF(ISNUMBER(K27),K27,0)+IF(ISNUMBER(L27),L27,0)+IF(ISNUMBER(M27),M27,0)+IF(ISNUMBER(N27),N27,0))/(IF(ISNUMBER(K27),1,0)+IF(ISNUMBER(L27),1,0)+IF(ISNUMBER(M27),1,0)+IF(ISNUMBER(N27),1,0)))</f>
        <v/>
      </c>
      <c r="K27" s="33" t="str">
        <f aca="false">IF(F27="","",VALUE(LEFT(F27,1)))</f>
        <v/>
      </c>
      <c r="L27" s="33" t="str">
        <f aca="false">IF(G27="","",VALUE(LEFT(G27,1)))</f>
        <v/>
      </c>
      <c r="M27" s="33" t="str">
        <f aca="false">IF(H27="","",VALUE(LEFT(H27,1)))</f>
        <v/>
      </c>
      <c r="N27" s="33" t="str">
        <f aca="false">IF(I27="","",VALUE(LEFT(I27,1)))</f>
        <v/>
      </c>
    </row>
    <row r="28" customFormat="false" ht="63.75" hidden="false" customHeight="true" outlineLevel="0" collapsed="false">
      <c r="B28" s="29" t="s">
        <v>135</v>
      </c>
      <c r="C28" s="9" t="s">
        <v>136</v>
      </c>
      <c r="D28" s="44" t="s">
        <v>133</v>
      </c>
      <c r="E28" s="10" t="s">
        <v>137</v>
      </c>
      <c r="F28" s="41"/>
      <c r="G28" s="41"/>
      <c r="H28" s="41"/>
      <c r="I28" s="41"/>
      <c r="J28" s="42" t="str">
        <f aca="false">IF((IF(ISNUMBER(K28),1,0)+IF(ISNUMBER(L28),1,0)+IF(ISNUMBER(M28),1,0)+IF(ISNUMBER(N28),1,0))=0,"",(IF(ISNUMBER(K28),K28,0)+IF(ISNUMBER(L28),L28,0)+IF(ISNUMBER(M28),M28,0)+IF(ISNUMBER(N28),N28,0))/(IF(ISNUMBER(K28),1,0)+IF(ISNUMBER(L28),1,0)+IF(ISNUMBER(M28),1,0)+IF(ISNUMBER(N28),1,0)))</f>
        <v/>
      </c>
      <c r="K28" s="33" t="str">
        <f aca="false">IF(F28="","",VALUE(LEFT(F28,1)))</f>
        <v/>
      </c>
      <c r="L28" s="33" t="str">
        <f aca="false">IF(G28="","",VALUE(LEFT(G28,1)))</f>
        <v/>
      </c>
      <c r="M28" s="33" t="str">
        <f aca="false">IF(H28="","",VALUE(LEFT(H28,1)))</f>
        <v/>
      </c>
      <c r="N28" s="33" t="str">
        <f aca="false">IF(I28="","",VALUE(LEFT(I28,1)))</f>
        <v/>
      </c>
    </row>
    <row r="29" customFormat="false" ht="25.5" hidden="false" customHeight="true" outlineLevel="0" collapsed="false">
      <c r="B29" s="36" t="s">
        <v>138</v>
      </c>
      <c r="C29" s="36"/>
      <c r="D29" s="36"/>
      <c r="E29" s="36"/>
      <c r="F29" s="42" t="str">
        <f aca="false">IF((IF(ISNUMBER(K22),0.18,0)+IF(ISNUMBER(K23),0.12,0)+IF(ISNUMBER(K24),0.1,0)+IF(ISNUMBER(K25),0.12,0)+IF(ISNUMBER(K26),0.15,0)+IF(ISNUMBER(K27),0.18,0)+IF(ISNUMBER(K28),0.15,0))=0,"",(IF(ISNUMBER(K22),K22*0.18,0)+IF(ISNUMBER(K23),K23*0.12,0)+IF(ISNUMBER(K24),K24*0.1,0)+IF(ISNUMBER(K25),K25*0.12,0)+IF(ISNUMBER(K26),K26*0.15,0)+IF(ISNUMBER(K27),K27*0.18,0)+IF(ISNUMBER(K28),K28*0.15,0))/(IF(ISNUMBER(K22),0.18,0)+IF(ISNUMBER(K23),0.12,0)+IF(ISNUMBER(K24),0.1,0)+IF(ISNUMBER(K25),0.12,0)+IF(ISNUMBER(K26),0.15,0)+IF(ISNUMBER(K27),0.18,0)+IF(ISNUMBER(K28),0.15,0)))</f>
        <v/>
      </c>
      <c r="G29" s="42" t="str">
        <f aca="false">IF((IF(ISNUMBER(L22),0.18,0)+IF(ISNUMBER(L23),0.12,0)+IF(ISNUMBER(L24),0.1,0)+IF(ISNUMBER(L25),0.12,0)+IF(ISNUMBER(L26),0.15,0)+IF(ISNUMBER(L27),0.18,0)+IF(ISNUMBER(L28),0.15,0))=0,"",(IF(ISNUMBER(L22),L22*0.18,0)+IF(ISNUMBER(L23),L23*0.12,0)+IF(ISNUMBER(L24),L24*0.1,0)+IF(ISNUMBER(L25),L25*0.12,0)+IF(ISNUMBER(L26),L26*0.15,0)+IF(ISNUMBER(L27),L27*0.18,0)+IF(ISNUMBER(L28),L28*0.15,0))/(IF(ISNUMBER(L22),0.18,0)+IF(ISNUMBER(L23),0.12,0)+IF(ISNUMBER(L24),0.1,0)+IF(ISNUMBER(L25),0.12,0)+IF(ISNUMBER(L26),0.15,0)+IF(ISNUMBER(L27),0.18,0)+IF(ISNUMBER(L28),0.15,0)))</f>
        <v/>
      </c>
      <c r="H29" s="42" t="str">
        <f aca="false">IF((IF(ISNUMBER(M22),0.18,0)+IF(ISNUMBER(M23),0.12,0)+IF(ISNUMBER(M24),0.1,0)+IF(ISNUMBER(M25),0.12,0)+IF(ISNUMBER(M26),0.15,0)+IF(ISNUMBER(M27),0.18,0)+IF(ISNUMBER(M28),0.15,0))=0,"",(IF(ISNUMBER(M22),M22*0.18,0)+IF(ISNUMBER(M23),M23*0.12,0)+IF(ISNUMBER(M24),M24*0.1,0)+IF(ISNUMBER(M25),M25*0.12,0)+IF(ISNUMBER(M26),M26*0.15,0)+IF(ISNUMBER(M27),M27*0.18,0)+IF(ISNUMBER(M28),M28*0.15,0))/(IF(ISNUMBER(M22),0.18,0)+IF(ISNUMBER(M23),0.12,0)+IF(ISNUMBER(M24),0.1,0)+IF(ISNUMBER(M25),0.12,0)+IF(ISNUMBER(M26),0.15,0)+IF(ISNUMBER(M27),0.18,0)+IF(ISNUMBER(M28),0.15,0)))</f>
        <v/>
      </c>
      <c r="I29" s="42" t="str">
        <f aca="false">IF((IF(ISNUMBER(N22),0.18,0)+IF(ISNUMBER(N23),0.12,0)+IF(ISNUMBER(N24),0.1,0)+IF(ISNUMBER(N25),0.12,0)+IF(ISNUMBER(N26),0.15,0)+IF(ISNUMBER(N27),0.18,0)+IF(ISNUMBER(N28),0.15,0))=0,"",(IF(ISNUMBER(N22),N22*0.18,0)+IF(ISNUMBER(N23),N23*0.12,0)+IF(ISNUMBER(N24),N24*0.1,0)+IF(ISNUMBER(N25),N25*0.12,0)+IF(ISNUMBER(N26),N26*0.15,0)+IF(ISNUMBER(N27),N27*0.18,0)+IF(ISNUMBER(N28),N28*0.15,0))/(IF(ISNUMBER(N22),0.18,0)+IF(ISNUMBER(N23),0.12,0)+IF(ISNUMBER(N24),0.1,0)+IF(ISNUMBER(N25),0.12,0)+IF(ISNUMBER(N26),0.15,0)+IF(ISNUMBER(N27),0.18,0)+IF(ISNUMBER(N28),0.15,0)))</f>
        <v/>
      </c>
      <c r="J29" s="38" t="str">
        <f aca="false">IF((IF(ISNUMBER(J22),0.18,0)+IF(ISNUMBER(J23),0.12,0)+IF(ISNUMBER(J24),0.1,0)+IF(ISNUMBER(J25),0.12,0)+IF(ISNUMBER(J26),0.15,0)+IF(ISNUMBER(J27),0.18,0)+IF(ISNUMBER(J28),0.15,0))=0,"",(IF(ISNUMBER(J22),J22*0.18,0)+IF(ISNUMBER(J23),J23*0.12,0)+IF(ISNUMBER(J24),J24*0.1,0)+IF(ISNUMBER(J25),J25*0.12,0)+IF(ISNUMBER(J26),J26*0.15,0)+IF(ISNUMBER(J27),J27*0.18,0)+IF(ISNUMBER(J28),J28*0.15,0))/(IF(ISNUMBER(J22),0.18,0)+IF(ISNUMBER(J23),0.12,0)+IF(ISNUMBER(J24),0.1,0)+IF(ISNUMBER(J25),0.12,0)+IF(ISNUMBER(J26),0.15,0)+IF(ISNUMBER(J27),0.18,0)+IF(ISNUMBER(J28),0.15,0)))</f>
        <v/>
      </c>
    </row>
    <row r="31" customFormat="false" ht="30" hidden="false" customHeight="true" outlineLevel="0" collapsed="false">
      <c r="B31" s="45" t="s">
        <v>139</v>
      </c>
      <c r="C31" s="45"/>
      <c r="D31" s="45"/>
      <c r="E31" s="45"/>
      <c r="F31" s="45"/>
      <c r="G31" s="45"/>
      <c r="H31" s="45"/>
      <c r="I31" s="45"/>
      <c r="J31" s="45"/>
    </row>
    <row r="32" customFormat="false" ht="21.75" hidden="false" customHeight="true" outlineLevel="0" collapsed="false">
      <c r="B32" s="26" t="s">
        <v>140</v>
      </c>
      <c r="C32" s="26"/>
      <c r="D32" s="26"/>
      <c r="E32" s="26"/>
      <c r="F32" s="26"/>
      <c r="G32" s="26"/>
      <c r="H32" s="26"/>
      <c r="I32" s="26"/>
      <c r="J32" s="26"/>
    </row>
    <row r="33" customFormat="false" ht="25.5" hidden="false" customHeight="true" outlineLevel="0" collapsed="false">
      <c r="B33" s="27" t="s">
        <v>108</v>
      </c>
      <c r="C33" s="27" t="s">
        <v>21</v>
      </c>
      <c r="D33" s="27" t="s">
        <v>78</v>
      </c>
      <c r="E33" s="27" t="s">
        <v>79</v>
      </c>
      <c r="F33" s="27" t="s">
        <v>109</v>
      </c>
      <c r="G33" s="27" t="s">
        <v>110</v>
      </c>
      <c r="H33" s="27" t="s">
        <v>111</v>
      </c>
      <c r="I33" s="27" t="s">
        <v>112</v>
      </c>
      <c r="J33" s="27" t="s">
        <v>113</v>
      </c>
    </row>
    <row r="34" customFormat="false" ht="63.75" hidden="false" customHeight="true" outlineLevel="0" collapsed="false">
      <c r="B34" s="29" t="s">
        <v>114</v>
      </c>
      <c r="C34" s="9" t="s">
        <v>115</v>
      </c>
      <c r="D34" s="40" t="s">
        <v>116</v>
      </c>
      <c r="E34" s="10" t="s">
        <v>141</v>
      </c>
      <c r="F34" s="41"/>
      <c r="G34" s="41"/>
      <c r="H34" s="41"/>
      <c r="I34" s="41"/>
      <c r="J34" s="42" t="str">
        <f aca="false">IF((IF(ISNUMBER(K34),1,0)+IF(ISNUMBER(L34),1,0)+IF(ISNUMBER(M34),1,0)+IF(ISNUMBER(N34),1,0))=0,"",(IF(ISNUMBER(K34),K34,0)+IF(ISNUMBER(L34),L34,0)+IF(ISNUMBER(M34),M34,0)+IF(ISNUMBER(N34),N34,0))/(IF(ISNUMBER(K34),1,0)+IF(ISNUMBER(L34),1,0)+IF(ISNUMBER(M34),1,0)+IF(ISNUMBER(N34),1,0)))</f>
        <v/>
      </c>
      <c r="K34" s="33" t="str">
        <f aca="false">IF(F34="","",VALUE(LEFT(F34,1)))</f>
        <v/>
      </c>
      <c r="L34" s="33" t="str">
        <f aca="false">IF(G34="","",VALUE(LEFT(G34,1)))</f>
        <v/>
      </c>
      <c r="M34" s="33" t="str">
        <f aca="false">IF(H34="","",VALUE(LEFT(H34,1)))</f>
        <v/>
      </c>
      <c r="N34" s="33" t="str">
        <f aca="false">IF(I34="","",VALUE(LEFT(I34,1)))</f>
        <v/>
      </c>
    </row>
    <row r="35" customFormat="false" ht="63.75" hidden="false" customHeight="true" outlineLevel="0" collapsed="false">
      <c r="B35" s="29" t="s">
        <v>118</v>
      </c>
      <c r="C35" s="9" t="s">
        <v>119</v>
      </c>
      <c r="D35" s="40" t="s">
        <v>116</v>
      </c>
      <c r="E35" s="10" t="s">
        <v>142</v>
      </c>
      <c r="F35" s="41"/>
      <c r="G35" s="41"/>
      <c r="H35" s="41"/>
      <c r="I35" s="41"/>
      <c r="J35" s="42" t="str">
        <f aca="false">IF((IF(ISNUMBER(K35),1,0)+IF(ISNUMBER(L35),1,0)+IF(ISNUMBER(M35),1,0)+IF(ISNUMBER(N35),1,0))=0,"",(IF(ISNUMBER(K35),K35,0)+IF(ISNUMBER(L35),L35,0)+IF(ISNUMBER(M35),M35,0)+IF(ISNUMBER(N35),N35,0))/(IF(ISNUMBER(K35),1,0)+IF(ISNUMBER(L35),1,0)+IF(ISNUMBER(M35),1,0)+IF(ISNUMBER(N35),1,0)))</f>
        <v/>
      </c>
      <c r="K35" s="33" t="str">
        <f aca="false">IF(F35="","",VALUE(LEFT(F35,1)))</f>
        <v/>
      </c>
      <c r="L35" s="33" t="str">
        <f aca="false">IF(G35="","",VALUE(LEFT(G35,1)))</f>
        <v/>
      </c>
      <c r="M35" s="33" t="str">
        <f aca="false">IF(H35="","",VALUE(LEFT(H35,1)))</f>
        <v/>
      </c>
      <c r="N35" s="33" t="str">
        <f aca="false">IF(I35="","",VALUE(LEFT(I35,1)))</f>
        <v/>
      </c>
    </row>
    <row r="36" customFormat="false" ht="63.75" hidden="false" customHeight="true" outlineLevel="0" collapsed="false">
      <c r="B36" s="29" t="s">
        <v>121</v>
      </c>
      <c r="C36" s="9" t="s">
        <v>122</v>
      </c>
      <c r="D36" s="43" t="s">
        <v>123</v>
      </c>
      <c r="E36" s="10" t="s">
        <v>143</v>
      </c>
      <c r="F36" s="41"/>
      <c r="G36" s="41"/>
      <c r="H36" s="41"/>
      <c r="I36" s="41"/>
      <c r="J36" s="42" t="str">
        <f aca="false">IF((IF(ISNUMBER(K36),1,0)+IF(ISNUMBER(L36),1,0)+IF(ISNUMBER(M36),1,0)+IF(ISNUMBER(N36),1,0))=0,"",(IF(ISNUMBER(K36),K36,0)+IF(ISNUMBER(L36),L36,0)+IF(ISNUMBER(M36),M36,0)+IF(ISNUMBER(N36),N36,0))/(IF(ISNUMBER(K36),1,0)+IF(ISNUMBER(L36),1,0)+IF(ISNUMBER(M36),1,0)+IF(ISNUMBER(N36),1,0)))</f>
        <v/>
      </c>
      <c r="K36" s="33" t="str">
        <f aca="false">IF(F36="","",VALUE(LEFT(F36,1)))</f>
        <v/>
      </c>
      <c r="L36" s="33" t="str">
        <f aca="false">IF(G36="","",VALUE(LEFT(G36,1)))</f>
        <v/>
      </c>
      <c r="M36" s="33" t="str">
        <f aca="false">IF(H36="","",VALUE(LEFT(H36,1)))</f>
        <v/>
      </c>
      <c r="N36" s="33" t="str">
        <f aca="false">IF(I36="","",VALUE(LEFT(I36,1)))</f>
        <v/>
      </c>
    </row>
    <row r="37" customFormat="false" ht="63.75" hidden="false" customHeight="true" outlineLevel="0" collapsed="false">
      <c r="B37" s="29" t="s">
        <v>125</v>
      </c>
      <c r="C37" s="9" t="s">
        <v>126</v>
      </c>
      <c r="D37" s="43" t="s">
        <v>123</v>
      </c>
      <c r="E37" s="10" t="s">
        <v>144</v>
      </c>
      <c r="F37" s="41"/>
      <c r="G37" s="41"/>
      <c r="H37" s="41"/>
      <c r="I37" s="41"/>
      <c r="J37" s="42" t="str">
        <f aca="false">IF((IF(ISNUMBER(K37),1,0)+IF(ISNUMBER(L37),1,0)+IF(ISNUMBER(M37),1,0)+IF(ISNUMBER(N37),1,0))=0,"",(IF(ISNUMBER(K37),K37,0)+IF(ISNUMBER(L37),L37,0)+IF(ISNUMBER(M37),M37,0)+IF(ISNUMBER(N37),N37,0))/(IF(ISNUMBER(K37),1,0)+IF(ISNUMBER(L37),1,0)+IF(ISNUMBER(M37),1,0)+IF(ISNUMBER(N37),1,0)))</f>
        <v/>
      </c>
      <c r="K37" s="33" t="str">
        <f aca="false">IF(F37="","",VALUE(LEFT(F37,1)))</f>
        <v/>
      </c>
      <c r="L37" s="33" t="str">
        <f aca="false">IF(G37="","",VALUE(LEFT(G37,1)))</f>
        <v/>
      </c>
      <c r="M37" s="33" t="str">
        <f aca="false">IF(H37="","",VALUE(LEFT(H37,1)))</f>
        <v/>
      </c>
      <c r="N37" s="33" t="str">
        <f aca="false">IF(I37="","",VALUE(LEFT(I37,1)))</f>
        <v/>
      </c>
    </row>
    <row r="38" customFormat="false" ht="63.75" hidden="false" customHeight="true" outlineLevel="0" collapsed="false">
      <c r="B38" s="29" t="s">
        <v>128</v>
      </c>
      <c r="C38" s="9" t="s">
        <v>129</v>
      </c>
      <c r="D38" s="43" t="s">
        <v>123</v>
      </c>
      <c r="E38" s="10" t="s">
        <v>145</v>
      </c>
      <c r="F38" s="41"/>
      <c r="G38" s="41"/>
      <c r="H38" s="41"/>
      <c r="I38" s="41"/>
      <c r="J38" s="42" t="str">
        <f aca="false">IF((IF(ISNUMBER(K38),1,0)+IF(ISNUMBER(L38),1,0)+IF(ISNUMBER(M38),1,0)+IF(ISNUMBER(N38),1,0))=0,"",(IF(ISNUMBER(K38),K38,0)+IF(ISNUMBER(L38),L38,0)+IF(ISNUMBER(M38),M38,0)+IF(ISNUMBER(N38),N38,0))/(IF(ISNUMBER(K38),1,0)+IF(ISNUMBER(L38),1,0)+IF(ISNUMBER(M38),1,0)+IF(ISNUMBER(N38),1,0)))</f>
        <v/>
      </c>
      <c r="K38" s="33" t="str">
        <f aca="false">IF(F38="","",VALUE(LEFT(F38,1)))</f>
        <v/>
      </c>
      <c r="L38" s="33" t="str">
        <f aca="false">IF(G38="","",VALUE(LEFT(G38,1)))</f>
        <v/>
      </c>
      <c r="M38" s="33" t="str">
        <f aca="false">IF(H38="","",VALUE(LEFT(H38,1)))</f>
        <v/>
      </c>
      <c r="N38" s="33" t="str">
        <f aca="false">IF(I38="","",VALUE(LEFT(I38,1)))</f>
        <v/>
      </c>
    </row>
    <row r="39" customFormat="false" ht="63.75" hidden="false" customHeight="true" outlineLevel="0" collapsed="false">
      <c r="B39" s="29" t="s">
        <v>131</v>
      </c>
      <c r="C39" s="9" t="s">
        <v>132</v>
      </c>
      <c r="D39" s="44" t="s">
        <v>133</v>
      </c>
      <c r="E39" s="10" t="s">
        <v>146</v>
      </c>
      <c r="F39" s="41"/>
      <c r="G39" s="41"/>
      <c r="H39" s="41"/>
      <c r="I39" s="41"/>
      <c r="J39" s="42" t="str">
        <f aca="false">IF((IF(ISNUMBER(K39),1,0)+IF(ISNUMBER(L39),1,0)+IF(ISNUMBER(M39),1,0)+IF(ISNUMBER(N39),1,0))=0,"",(IF(ISNUMBER(K39),K39,0)+IF(ISNUMBER(L39),L39,0)+IF(ISNUMBER(M39),M39,0)+IF(ISNUMBER(N39),N39,0))/(IF(ISNUMBER(K39),1,0)+IF(ISNUMBER(L39),1,0)+IF(ISNUMBER(M39),1,0)+IF(ISNUMBER(N39),1,0)))</f>
        <v/>
      </c>
      <c r="K39" s="33" t="str">
        <f aca="false">IF(F39="","",VALUE(LEFT(F39,1)))</f>
        <v/>
      </c>
      <c r="L39" s="33" t="str">
        <f aca="false">IF(G39="","",VALUE(LEFT(G39,1)))</f>
        <v/>
      </c>
      <c r="M39" s="33" t="str">
        <f aca="false">IF(H39="","",VALUE(LEFT(H39,1)))</f>
        <v/>
      </c>
      <c r="N39" s="33" t="str">
        <f aca="false">IF(I39="","",VALUE(LEFT(I39,1)))</f>
        <v/>
      </c>
    </row>
    <row r="40" customFormat="false" ht="63.75" hidden="false" customHeight="true" outlineLevel="0" collapsed="false">
      <c r="B40" s="29" t="s">
        <v>135</v>
      </c>
      <c r="C40" s="9" t="s">
        <v>136</v>
      </c>
      <c r="D40" s="44" t="s">
        <v>133</v>
      </c>
      <c r="E40" s="10" t="s">
        <v>147</v>
      </c>
      <c r="F40" s="41"/>
      <c r="G40" s="41"/>
      <c r="H40" s="41"/>
      <c r="I40" s="41"/>
      <c r="J40" s="42" t="str">
        <f aca="false">IF((IF(ISNUMBER(K40),1,0)+IF(ISNUMBER(L40),1,0)+IF(ISNUMBER(M40),1,0)+IF(ISNUMBER(N40),1,0))=0,"",(IF(ISNUMBER(K40),K40,0)+IF(ISNUMBER(L40),L40,0)+IF(ISNUMBER(M40),M40,0)+IF(ISNUMBER(N40),N40,0))/(IF(ISNUMBER(K40),1,0)+IF(ISNUMBER(L40),1,0)+IF(ISNUMBER(M40),1,0)+IF(ISNUMBER(N40),1,0)))</f>
        <v/>
      </c>
      <c r="K40" s="33" t="str">
        <f aca="false">IF(F40="","",VALUE(LEFT(F40,1)))</f>
        <v/>
      </c>
      <c r="L40" s="33" t="str">
        <f aca="false">IF(G40="","",VALUE(LEFT(G40,1)))</f>
        <v/>
      </c>
      <c r="M40" s="33" t="str">
        <f aca="false">IF(H40="","",VALUE(LEFT(H40,1)))</f>
        <v/>
      </c>
      <c r="N40" s="33" t="str">
        <f aca="false">IF(I40="","",VALUE(LEFT(I40,1)))</f>
        <v/>
      </c>
    </row>
    <row r="41" customFormat="false" ht="25.5" hidden="false" customHeight="true" outlineLevel="0" collapsed="false">
      <c r="B41" s="36" t="s">
        <v>138</v>
      </c>
      <c r="C41" s="36"/>
      <c r="D41" s="36"/>
      <c r="E41" s="36"/>
      <c r="F41" s="42" t="str">
        <f aca="false">IF((IF(ISNUMBER(K34),0.18,0)+IF(ISNUMBER(K35),0.12,0)+IF(ISNUMBER(K36),0.1,0)+IF(ISNUMBER(K37),0.12,0)+IF(ISNUMBER(K38),0.15,0)+IF(ISNUMBER(K39),0.18,0)+IF(ISNUMBER(K40),0.15,0))=0,"",(IF(ISNUMBER(K34),K34*0.18,0)+IF(ISNUMBER(K35),K35*0.12,0)+IF(ISNUMBER(K36),K36*0.1,0)+IF(ISNUMBER(K37),K37*0.12,0)+IF(ISNUMBER(K38),K38*0.15,0)+IF(ISNUMBER(K39),K39*0.18,0)+IF(ISNUMBER(K40),K40*0.15,0))/(IF(ISNUMBER(K34),0.18,0)+IF(ISNUMBER(K35),0.12,0)+IF(ISNUMBER(K36),0.1,0)+IF(ISNUMBER(K37),0.12,0)+IF(ISNUMBER(K38),0.15,0)+IF(ISNUMBER(K39),0.18,0)+IF(ISNUMBER(K40),0.15,0)))</f>
        <v/>
      </c>
      <c r="G41" s="42" t="str">
        <f aca="false">IF((IF(ISNUMBER(L34),0.18,0)+IF(ISNUMBER(L35),0.12,0)+IF(ISNUMBER(L36),0.1,0)+IF(ISNUMBER(L37),0.12,0)+IF(ISNUMBER(L38),0.15,0)+IF(ISNUMBER(L39),0.18,0)+IF(ISNUMBER(L40),0.15,0))=0,"",(IF(ISNUMBER(L34),L34*0.18,0)+IF(ISNUMBER(L35),L35*0.12,0)+IF(ISNUMBER(L36),L36*0.1,0)+IF(ISNUMBER(L37),L37*0.12,0)+IF(ISNUMBER(L38),L38*0.15,0)+IF(ISNUMBER(L39),L39*0.18,0)+IF(ISNUMBER(L40),L40*0.15,0))/(IF(ISNUMBER(L34),0.18,0)+IF(ISNUMBER(L35),0.12,0)+IF(ISNUMBER(L36),0.1,0)+IF(ISNUMBER(L37),0.12,0)+IF(ISNUMBER(L38),0.15,0)+IF(ISNUMBER(L39),0.18,0)+IF(ISNUMBER(L40),0.15,0)))</f>
        <v/>
      </c>
      <c r="H41" s="42" t="str">
        <f aca="false">IF((IF(ISNUMBER(M34),0.18,0)+IF(ISNUMBER(M35),0.12,0)+IF(ISNUMBER(M36),0.1,0)+IF(ISNUMBER(M37),0.12,0)+IF(ISNUMBER(M38),0.15,0)+IF(ISNUMBER(M39),0.18,0)+IF(ISNUMBER(M40),0.15,0))=0,"",(IF(ISNUMBER(M34),M34*0.18,0)+IF(ISNUMBER(M35),M35*0.12,0)+IF(ISNUMBER(M36),M36*0.1,0)+IF(ISNUMBER(M37),M37*0.12,0)+IF(ISNUMBER(M38),M38*0.15,0)+IF(ISNUMBER(M39),M39*0.18,0)+IF(ISNUMBER(M40),M40*0.15,0))/(IF(ISNUMBER(M34),0.18,0)+IF(ISNUMBER(M35),0.12,0)+IF(ISNUMBER(M36),0.1,0)+IF(ISNUMBER(M37),0.12,0)+IF(ISNUMBER(M38),0.15,0)+IF(ISNUMBER(M39),0.18,0)+IF(ISNUMBER(M40),0.15,0)))</f>
        <v/>
      </c>
      <c r="I41" s="42" t="str">
        <f aca="false">IF((IF(ISNUMBER(N34),0.18,0)+IF(ISNUMBER(N35),0.12,0)+IF(ISNUMBER(N36),0.1,0)+IF(ISNUMBER(N37),0.12,0)+IF(ISNUMBER(N38),0.15,0)+IF(ISNUMBER(N39),0.18,0)+IF(ISNUMBER(N40),0.15,0))=0,"",(IF(ISNUMBER(N34),N34*0.18,0)+IF(ISNUMBER(N35),N35*0.12,0)+IF(ISNUMBER(N36),N36*0.1,0)+IF(ISNUMBER(N37),N37*0.12,0)+IF(ISNUMBER(N38),N38*0.15,0)+IF(ISNUMBER(N39),N39*0.18,0)+IF(ISNUMBER(N40),N40*0.15,0))/(IF(ISNUMBER(N34),0.18,0)+IF(ISNUMBER(N35),0.12,0)+IF(ISNUMBER(N36),0.1,0)+IF(ISNUMBER(N37),0.12,0)+IF(ISNUMBER(N38),0.15,0)+IF(ISNUMBER(N39),0.18,0)+IF(ISNUMBER(N40),0.15,0)))</f>
        <v/>
      </c>
      <c r="J41" s="38" t="str">
        <f aca="false">IF((IF(ISNUMBER(J34),0.18,0)+IF(ISNUMBER(J35),0.12,0)+IF(ISNUMBER(J36),0.1,0)+IF(ISNUMBER(J37),0.12,0)+IF(ISNUMBER(J38),0.15,0)+IF(ISNUMBER(J39),0.18,0)+IF(ISNUMBER(J40),0.15,0))=0,"",(IF(ISNUMBER(J34),J34*0.18,0)+IF(ISNUMBER(J35),J35*0.12,0)+IF(ISNUMBER(J36),J36*0.1,0)+IF(ISNUMBER(J37),J37*0.12,0)+IF(ISNUMBER(J38),J38*0.15,0)+IF(ISNUMBER(J39),J39*0.18,0)+IF(ISNUMBER(J40),J40*0.15,0))/(IF(ISNUMBER(J34),0.18,0)+IF(ISNUMBER(J35),0.12,0)+IF(ISNUMBER(J36),0.1,0)+IF(ISNUMBER(J37),0.12,0)+IF(ISNUMBER(J38),0.15,0)+IF(ISNUMBER(J39),0.18,0)+IF(ISNUMBER(J40),0.15,0)))</f>
        <v/>
      </c>
    </row>
    <row r="43" customFormat="false" ht="30" hidden="false" customHeight="true" outlineLevel="0" collapsed="false">
      <c r="B43" s="46" t="s">
        <v>148</v>
      </c>
      <c r="C43" s="46"/>
      <c r="D43" s="46"/>
      <c r="E43" s="46"/>
      <c r="F43" s="46"/>
      <c r="G43" s="46"/>
      <c r="H43" s="46"/>
      <c r="I43" s="46"/>
      <c r="J43" s="46"/>
    </row>
    <row r="44" customFormat="false" ht="21.75" hidden="false" customHeight="true" outlineLevel="0" collapsed="false">
      <c r="B44" s="26" t="s">
        <v>149</v>
      </c>
      <c r="C44" s="26"/>
      <c r="D44" s="26"/>
      <c r="E44" s="26"/>
      <c r="F44" s="26"/>
      <c r="G44" s="26"/>
      <c r="H44" s="26"/>
      <c r="I44" s="26"/>
      <c r="J44" s="26"/>
    </row>
    <row r="45" customFormat="false" ht="25.5" hidden="false" customHeight="true" outlineLevel="0" collapsed="false">
      <c r="B45" s="27" t="s">
        <v>108</v>
      </c>
      <c r="C45" s="27" t="s">
        <v>21</v>
      </c>
      <c r="D45" s="27" t="s">
        <v>78</v>
      </c>
      <c r="E45" s="27" t="s">
        <v>79</v>
      </c>
      <c r="F45" s="27" t="s">
        <v>109</v>
      </c>
      <c r="G45" s="27" t="s">
        <v>110</v>
      </c>
      <c r="H45" s="27" t="s">
        <v>111</v>
      </c>
      <c r="I45" s="27" t="s">
        <v>112</v>
      </c>
      <c r="J45" s="27" t="s">
        <v>113</v>
      </c>
    </row>
    <row r="46" customFormat="false" ht="63.75" hidden="false" customHeight="true" outlineLevel="0" collapsed="false">
      <c r="B46" s="29" t="s">
        <v>114</v>
      </c>
      <c r="C46" s="9" t="s">
        <v>115</v>
      </c>
      <c r="D46" s="40" t="s">
        <v>116</v>
      </c>
      <c r="E46" s="10" t="s">
        <v>150</v>
      </c>
      <c r="F46" s="41"/>
      <c r="G46" s="41"/>
      <c r="H46" s="41"/>
      <c r="I46" s="41"/>
      <c r="J46" s="42" t="str">
        <f aca="false">IF((IF(ISNUMBER(K46),1,0)+IF(ISNUMBER(L46),1,0)+IF(ISNUMBER(M46),1,0)+IF(ISNUMBER(N46),1,0))=0,"",(IF(ISNUMBER(K46),K46,0)+IF(ISNUMBER(L46),L46,0)+IF(ISNUMBER(M46),M46,0)+IF(ISNUMBER(N46),N46,0))/(IF(ISNUMBER(K46),1,0)+IF(ISNUMBER(L46),1,0)+IF(ISNUMBER(M46),1,0)+IF(ISNUMBER(N46),1,0)))</f>
        <v/>
      </c>
      <c r="K46" s="33" t="str">
        <f aca="false">IF(F46="","",VALUE(LEFT(F46,1)))</f>
        <v/>
      </c>
      <c r="L46" s="33" t="str">
        <f aca="false">IF(G46="","",VALUE(LEFT(G46,1)))</f>
        <v/>
      </c>
      <c r="M46" s="33" t="str">
        <f aca="false">IF(H46="","",VALUE(LEFT(H46,1)))</f>
        <v/>
      </c>
      <c r="N46" s="33" t="str">
        <f aca="false">IF(I46="","",VALUE(LEFT(I46,1)))</f>
        <v/>
      </c>
    </row>
    <row r="47" customFormat="false" ht="63.75" hidden="false" customHeight="true" outlineLevel="0" collapsed="false">
      <c r="B47" s="29" t="s">
        <v>118</v>
      </c>
      <c r="C47" s="9" t="s">
        <v>119</v>
      </c>
      <c r="D47" s="40" t="s">
        <v>116</v>
      </c>
      <c r="E47" s="10" t="s">
        <v>151</v>
      </c>
      <c r="F47" s="41"/>
      <c r="G47" s="41"/>
      <c r="H47" s="41"/>
      <c r="I47" s="41"/>
      <c r="J47" s="42" t="str">
        <f aca="false">IF((IF(ISNUMBER(K47),1,0)+IF(ISNUMBER(L47),1,0)+IF(ISNUMBER(M47),1,0)+IF(ISNUMBER(N47),1,0))=0,"",(IF(ISNUMBER(K47),K47,0)+IF(ISNUMBER(L47),L47,0)+IF(ISNUMBER(M47),M47,0)+IF(ISNUMBER(N47),N47,0))/(IF(ISNUMBER(K47),1,0)+IF(ISNUMBER(L47),1,0)+IF(ISNUMBER(M47),1,0)+IF(ISNUMBER(N47),1,0)))</f>
        <v/>
      </c>
      <c r="K47" s="33" t="str">
        <f aca="false">IF(F47="","",VALUE(LEFT(F47,1)))</f>
        <v/>
      </c>
      <c r="L47" s="33" t="str">
        <f aca="false">IF(G47="","",VALUE(LEFT(G47,1)))</f>
        <v/>
      </c>
      <c r="M47" s="33" t="str">
        <f aca="false">IF(H47="","",VALUE(LEFT(H47,1)))</f>
        <v/>
      </c>
      <c r="N47" s="33" t="str">
        <f aca="false">IF(I47="","",VALUE(LEFT(I47,1)))</f>
        <v/>
      </c>
    </row>
    <row r="48" customFormat="false" ht="63.75" hidden="false" customHeight="true" outlineLevel="0" collapsed="false">
      <c r="B48" s="29" t="s">
        <v>121</v>
      </c>
      <c r="C48" s="9" t="s">
        <v>122</v>
      </c>
      <c r="D48" s="43" t="s">
        <v>123</v>
      </c>
      <c r="E48" s="10" t="s">
        <v>152</v>
      </c>
      <c r="F48" s="41"/>
      <c r="G48" s="41"/>
      <c r="H48" s="41"/>
      <c r="I48" s="41"/>
      <c r="J48" s="42" t="str">
        <f aca="false">IF((IF(ISNUMBER(K48),1,0)+IF(ISNUMBER(L48),1,0)+IF(ISNUMBER(M48),1,0)+IF(ISNUMBER(N48),1,0))=0,"",(IF(ISNUMBER(K48),K48,0)+IF(ISNUMBER(L48),L48,0)+IF(ISNUMBER(M48),M48,0)+IF(ISNUMBER(N48),N48,0))/(IF(ISNUMBER(K48),1,0)+IF(ISNUMBER(L48),1,0)+IF(ISNUMBER(M48),1,0)+IF(ISNUMBER(N48),1,0)))</f>
        <v/>
      </c>
      <c r="K48" s="33" t="str">
        <f aca="false">IF(F48="","",VALUE(LEFT(F48,1)))</f>
        <v/>
      </c>
      <c r="L48" s="33" t="str">
        <f aca="false">IF(G48="","",VALUE(LEFT(G48,1)))</f>
        <v/>
      </c>
      <c r="M48" s="33" t="str">
        <f aca="false">IF(H48="","",VALUE(LEFT(H48,1)))</f>
        <v/>
      </c>
      <c r="N48" s="33" t="str">
        <f aca="false">IF(I48="","",VALUE(LEFT(I48,1)))</f>
        <v/>
      </c>
    </row>
    <row r="49" customFormat="false" ht="63.75" hidden="false" customHeight="true" outlineLevel="0" collapsed="false">
      <c r="B49" s="29" t="s">
        <v>125</v>
      </c>
      <c r="C49" s="9" t="s">
        <v>126</v>
      </c>
      <c r="D49" s="43" t="s">
        <v>123</v>
      </c>
      <c r="E49" s="10" t="s">
        <v>153</v>
      </c>
      <c r="F49" s="41"/>
      <c r="G49" s="41"/>
      <c r="H49" s="41"/>
      <c r="I49" s="41"/>
      <c r="J49" s="42" t="str">
        <f aca="false">IF((IF(ISNUMBER(K49),1,0)+IF(ISNUMBER(L49),1,0)+IF(ISNUMBER(M49),1,0)+IF(ISNUMBER(N49),1,0))=0,"",(IF(ISNUMBER(K49),K49,0)+IF(ISNUMBER(L49),L49,0)+IF(ISNUMBER(M49),M49,0)+IF(ISNUMBER(N49),N49,0))/(IF(ISNUMBER(K49),1,0)+IF(ISNUMBER(L49),1,0)+IF(ISNUMBER(M49),1,0)+IF(ISNUMBER(N49),1,0)))</f>
        <v/>
      </c>
      <c r="K49" s="33" t="str">
        <f aca="false">IF(F49="","",VALUE(LEFT(F49,1)))</f>
        <v/>
      </c>
      <c r="L49" s="33" t="str">
        <f aca="false">IF(G49="","",VALUE(LEFT(G49,1)))</f>
        <v/>
      </c>
      <c r="M49" s="33" t="str">
        <f aca="false">IF(H49="","",VALUE(LEFT(H49,1)))</f>
        <v/>
      </c>
      <c r="N49" s="33" t="str">
        <f aca="false">IF(I49="","",VALUE(LEFT(I49,1)))</f>
        <v/>
      </c>
    </row>
    <row r="50" customFormat="false" ht="63.75" hidden="false" customHeight="true" outlineLevel="0" collapsed="false">
      <c r="B50" s="29" t="s">
        <v>128</v>
      </c>
      <c r="C50" s="9" t="s">
        <v>129</v>
      </c>
      <c r="D50" s="43" t="s">
        <v>123</v>
      </c>
      <c r="E50" s="10" t="s">
        <v>154</v>
      </c>
      <c r="F50" s="41"/>
      <c r="G50" s="41"/>
      <c r="H50" s="41"/>
      <c r="I50" s="41"/>
      <c r="J50" s="42" t="str">
        <f aca="false">IF((IF(ISNUMBER(K50),1,0)+IF(ISNUMBER(L50),1,0)+IF(ISNUMBER(M50),1,0)+IF(ISNUMBER(N50),1,0))=0,"",(IF(ISNUMBER(K50),K50,0)+IF(ISNUMBER(L50),L50,0)+IF(ISNUMBER(M50),M50,0)+IF(ISNUMBER(N50),N50,0))/(IF(ISNUMBER(K50),1,0)+IF(ISNUMBER(L50),1,0)+IF(ISNUMBER(M50),1,0)+IF(ISNUMBER(N50),1,0)))</f>
        <v/>
      </c>
      <c r="K50" s="33" t="str">
        <f aca="false">IF(F50="","",VALUE(LEFT(F50,1)))</f>
        <v/>
      </c>
      <c r="L50" s="33" t="str">
        <f aca="false">IF(G50="","",VALUE(LEFT(G50,1)))</f>
        <v/>
      </c>
      <c r="M50" s="33" t="str">
        <f aca="false">IF(H50="","",VALUE(LEFT(H50,1)))</f>
        <v/>
      </c>
      <c r="N50" s="33" t="str">
        <f aca="false">IF(I50="","",VALUE(LEFT(I50,1)))</f>
        <v/>
      </c>
    </row>
    <row r="51" customFormat="false" ht="63.75" hidden="false" customHeight="true" outlineLevel="0" collapsed="false">
      <c r="B51" s="29" t="s">
        <v>131</v>
      </c>
      <c r="C51" s="9" t="s">
        <v>132</v>
      </c>
      <c r="D51" s="44" t="s">
        <v>133</v>
      </c>
      <c r="E51" s="10" t="s">
        <v>155</v>
      </c>
      <c r="F51" s="41"/>
      <c r="G51" s="41"/>
      <c r="H51" s="41"/>
      <c r="I51" s="41"/>
      <c r="J51" s="42" t="str">
        <f aca="false">IF((IF(ISNUMBER(K51),1,0)+IF(ISNUMBER(L51),1,0)+IF(ISNUMBER(M51),1,0)+IF(ISNUMBER(N51),1,0))=0,"",(IF(ISNUMBER(K51),K51,0)+IF(ISNUMBER(L51),L51,0)+IF(ISNUMBER(M51),M51,0)+IF(ISNUMBER(N51),N51,0))/(IF(ISNUMBER(K51),1,0)+IF(ISNUMBER(L51),1,0)+IF(ISNUMBER(M51),1,0)+IF(ISNUMBER(N51),1,0)))</f>
        <v/>
      </c>
      <c r="K51" s="33" t="str">
        <f aca="false">IF(F51="","",VALUE(LEFT(F51,1)))</f>
        <v/>
      </c>
      <c r="L51" s="33" t="str">
        <f aca="false">IF(G51="","",VALUE(LEFT(G51,1)))</f>
        <v/>
      </c>
      <c r="M51" s="33" t="str">
        <f aca="false">IF(H51="","",VALUE(LEFT(H51,1)))</f>
        <v/>
      </c>
      <c r="N51" s="33" t="str">
        <f aca="false">IF(I51="","",VALUE(LEFT(I51,1)))</f>
        <v/>
      </c>
    </row>
    <row r="52" customFormat="false" ht="63.75" hidden="false" customHeight="true" outlineLevel="0" collapsed="false">
      <c r="B52" s="29" t="s">
        <v>135</v>
      </c>
      <c r="C52" s="9" t="s">
        <v>136</v>
      </c>
      <c r="D52" s="44" t="s">
        <v>133</v>
      </c>
      <c r="E52" s="10" t="s">
        <v>156</v>
      </c>
      <c r="F52" s="41"/>
      <c r="G52" s="41"/>
      <c r="H52" s="41"/>
      <c r="I52" s="41"/>
      <c r="J52" s="42" t="str">
        <f aca="false">IF((IF(ISNUMBER(K52),1,0)+IF(ISNUMBER(L52),1,0)+IF(ISNUMBER(M52),1,0)+IF(ISNUMBER(N52),1,0))=0,"",(IF(ISNUMBER(K52),K52,0)+IF(ISNUMBER(L52),L52,0)+IF(ISNUMBER(M52),M52,0)+IF(ISNUMBER(N52),N52,0))/(IF(ISNUMBER(K52),1,0)+IF(ISNUMBER(L52),1,0)+IF(ISNUMBER(M52),1,0)+IF(ISNUMBER(N52),1,0)))</f>
        <v/>
      </c>
      <c r="K52" s="33" t="str">
        <f aca="false">IF(F52="","",VALUE(LEFT(F52,1)))</f>
        <v/>
      </c>
      <c r="L52" s="33" t="str">
        <f aca="false">IF(G52="","",VALUE(LEFT(G52,1)))</f>
        <v/>
      </c>
      <c r="M52" s="33" t="str">
        <f aca="false">IF(H52="","",VALUE(LEFT(H52,1)))</f>
        <v/>
      </c>
      <c r="N52" s="33" t="str">
        <f aca="false">IF(I52="","",VALUE(LEFT(I52,1)))</f>
        <v/>
      </c>
    </row>
    <row r="53" customFormat="false" ht="25.5" hidden="false" customHeight="true" outlineLevel="0" collapsed="false">
      <c r="B53" s="36" t="s">
        <v>138</v>
      </c>
      <c r="C53" s="36"/>
      <c r="D53" s="36"/>
      <c r="E53" s="36"/>
      <c r="F53" s="42" t="str">
        <f aca="false">IF((IF(ISNUMBER(K46),0.18,0)+IF(ISNUMBER(K47),0.12,0)+IF(ISNUMBER(K48),0.1,0)+IF(ISNUMBER(K49),0.12,0)+IF(ISNUMBER(K50),0.15,0)+IF(ISNUMBER(K51),0.18,0)+IF(ISNUMBER(K52),0.15,0))=0,"",(IF(ISNUMBER(K46),K46*0.18,0)+IF(ISNUMBER(K47),K47*0.12,0)+IF(ISNUMBER(K48),K48*0.1,0)+IF(ISNUMBER(K49),K49*0.12,0)+IF(ISNUMBER(K50),K50*0.15,0)+IF(ISNUMBER(K51),K51*0.18,0)+IF(ISNUMBER(K52),K52*0.15,0))/(IF(ISNUMBER(K46),0.18,0)+IF(ISNUMBER(K47),0.12,0)+IF(ISNUMBER(K48),0.1,0)+IF(ISNUMBER(K49),0.12,0)+IF(ISNUMBER(K50),0.15,0)+IF(ISNUMBER(K51),0.18,0)+IF(ISNUMBER(K52),0.15,0)))</f>
        <v/>
      </c>
      <c r="G53" s="42" t="str">
        <f aca="false">IF((IF(ISNUMBER(L46),0.18,0)+IF(ISNUMBER(L47),0.12,0)+IF(ISNUMBER(L48),0.1,0)+IF(ISNUMBER(L49),0.12,0)+IF(ISNUMBER(L50),0.15,0)+IF(ISNUMBER(L51),0.18,0)+IF(ISNUMBER(L52),0.15,0))=0,"",(IF(ISNUMBER(L46),L46*0.18,0)+IF(ISNUMBER(L47),L47*0.12,0)+IF(ISNUMBER(L48),L48*0.1,0)+IF(ISNUMBER(L49),L49*0.12,0)+IF(ISNUMBER(L50),L50*0.15,0)+IF(ISNUMBER(L51),L51*0.18,0)+IF(ISNUMBER(L52),L52*0.15,0))/(IF(ISNUMBER(L46),0.18,0)+IF(ISNUMBER(L47),0.12,0)+IF(ISNUMBER(L48),0.1,0)+IF(ISNUMBER(L49),0.12,0)+IF(ISNUMBER(L50),0.15,0)+IF(ISNUMBER(L51),0.18,0)+IF(ISNUMBER(L52),0.15,0)))</f>
        <v/>
      </c>
      <c r="H53" s="42" t="str">
        <f aca="false">IF((IF(ISNUMBER(M46),0.18,0)+IF(ISNUMBER(M47),0.12,0)+IF(ISNUMBER(M48),0.1,0)+IF(ISNUMBER(M49),0.12,0)+IF(ISNUMBER(M50),0.15,0)+IF(ISNUMBER(M51),0.18,0)+IF(ISNUMBER(M52),0.15,0))=0,"",(IF(ISNUMBER(M46),M46*0.18,0)+IF(ISNUMBER(M47),M47*0.12,0)+IF(ISNUMBER(M48),M48*0.1,0)+IF(ISNUMBER(M49),M49*0.12,0)+IF(ISNUMBER(M50),M50*0.15,0)+IF(ISNUMBER(M51),M51*0.18,0)+IF(ISNUMBER(M52),M52*0.15,0))/(IF(ISNUMBER(M46),0.18,0)+IF(ISNUMBER(M47),0.12,0)+IF(ISNUMBER(M48),0.1,0)+IF(ISNUMBER(M49),0.12,0)+IF(ISNUMBER(M50),0.15,0)+IF(ISNUMBER(M51),0.18,0)+IF(ISNUMBER(M52),0.15,0)))</f>
        <v/>
      </c>
      <c r="I53" s="42" t="str">
        <f aca="false">IF((IF(ISNUMBER(N46),0.18,0)+IF(ISNUMBER(N47),0.12,0)+IF(ISNUMBER(N48),0.1,0)+IF(ISNUMBER(N49),0.12,0)+IF(ISNUMBER(N50),0.15,0)+IF(ISNUMBER(N51),0.18,0)+IF(ISNUMBER(N52),0.15,0))=0,"",(IF(ISNUMBER(N46),N46*0.18,0)+IF(ISNUMBER(N47),N47*0.12,0)+IF(ISNUMBER(N48),N48*0.1,0)+IF(ISNUMBER(N49),N49*0.12,0)+IF(ISNUMBER(N50),N50*0.15,0)+IF(ISNUMBER(N51),N51*0.18,0)+IF(ISNUMBER(N52),N52*0.15,0))/(IF(ISNUMBER(N46),0.18,0)+IF(ISNUMBER(N47),0.12,0)+IF(ISNUMBER(N48),0.1,0)+IF(ISNUMBER(N49),0.12,0)+IF(ISNUMBER(N50),0.15,0)+IF(ISNUMBER(N51),0.18,0)+IF(ISNUMBER(N52),0.15,0)))</f>
        <v/>
      </c>
      <c r="J53" s="38" t="str">
        <f aca="false">IF((IF(ISNUMBER(J46),0.18,0)+IF(ISNUMBER(J47),0.12,0)+IF(ISNUMBER(J48),0.1,0)+IF(ISNUMBER(J49),0.12,0)+IF(ISNUMBER(J50),0.15,0)+IF(ISNUMBER(J51),0.18,0)+IF(ISNUMBER(J52),0.15,0))=0,"",(IF(ISNUMBER(J46),J46*0.18,0)+IF(ISNUMBER(J47),J47*0.12,0)+IF(ISNUMBER(J48),J48*0.1,0)+IF(ISNUMBER(J49),J49*0.12,0)+IF(ISNUMBER(J50),J50*0.15,0)+IF(ISNUMBER(J51),J51*0.18,0)+IF(ISNUMBER(J52),J52*0.15,0))/(IF(ISNUMBER(J46),0.18,0)+IF(ISNUMBER(J47),0.12,0)+IF(ISNUMBER(J48),0.1,0)+IF(ISNUMBER(J49),0.12,0)+IF(ISNUMBER(J50),0.15,0)+IF(ISNUMBER(J51),0.18,0)+IF(ISNUMBER(J52),0.15,0)))</f>
        <v/>
      </c>
    </row>
  </sheetData>
  <mergeCells count="24">
    <mergeCell ref="B3:J3"/>
    <mergeCell ref="B4:J4"/>
    <mergeCell ref="B5:J5"/>
    <mergeCell ref="B7:J7"/>
    <mergeCell ref="B8:J8"/>
    <mergeCell ref="F9:I9"/>
    <mergeCell ref="F10:I10"/>
    <mergeCell ref="F11:I11"/>
    <mergeCell ref="F12:I12"/>
    <mergeCell ref="F13:I13"/>
    <mergeCell ref="F14:I14"/>
    <mergeCell ref="F15:I15"/>
    <mergeCell ref="F16:I16"/>
    <mergeCell ref="B17:E17"/>
    <mergeCell ref="F17:I17"/>
    <mergeCell ref="B19:J19"/>
    <mergeCell ref="B20:J20"/>
    <mergeCell ref="B29:E29"/>
    <mergeCell ref="B31:J31"/>
    <mergeCell ref="B32:J32"/>
    <mergeCell ref="B41:E41"/>
    <mergeCell ref="B43:J43"/>
    <mergeCell ref="B44:J44"/>
    <mergeCell ref="B53:E53"/>
  </mergeCells>
  <conditionalFormatting sqref="F10">
    <cfRule type="expression" priority="2" aboveAverage="0" equalAverage="0" bottom="0" percent="0" rank="0" text="" dxfId="0">
      <formula>LEFT(F10,1)="1"</formula>
    </cfRule>
    <cfRule type="expression" priority="3" aboveAverage="0" equalAverage="0" bottom="0" percent="0" rank="0" text="" dxfId="3">
      <formula>LEFT(F10,1)="2"</formula>
    </cfRule>
    <cfRule type="expression" priority="4" aboveAverage="0" equalAverage="0" bottom="0" percent="0" rank="0" text="" dxfId="4">
      <formula>LEFT(F10,1)="3"</formula>
    </cfRule>
    <cfRule type="expression" priority="5" aboveAverage="0" equalAverage="0" bottom="0" percent="0" rank="0" text="" dxfId="5">
      <formula>LEFT(F10,1)="4"</formula>
    </cfRule>
    <cfRule type="expression" priority="6" aboveAverage="0" equalAverage="0" bottom="0" percent="0" rank="0" text="" dxfId="6">
      <formula>LEFT(F10,1)="5"</formula>
    </cfRule>
  </conditionalFormatting>
  <conditionalFormatting sqref="F11">
    <cfRule type="expression" priority="7" aboveAverage="0" equalAverage="0" bottom="0" percent="0" rank="0" text="" dxfId="0">
      <formula>LEFT(F11,1)="1"</formula>
    </cfRule>
    <cfRule type="expression" priority="8" aboveAverage="0" equalAverage="0" bottom="0" percent="0" rank="0" text="" dxfId="3">
      <formula>LEFT(F11,1)="2"</formula>
    </cfRule>
    <cfRule type="expression" priority="9" aboveAverage="0" equalAverage="0" bottom="0" percent="0" rank="0" text="" dxfId="4">
      <formula>LEFT(F11,1)="3"</formula>
    </cfRule>
    <cfRule type="expression" priority="10" aboveAverage="0" equalAverage="0" bottom="0" percent="0" rank="0" text="" dxfId="5">
      <formula>LEFT(F11,1)="4"</formula>
    </cfRule>
    <cfRule type="expression" priority="11" aboveAverage="0" equalAverage="0" bottom="0" percent="0" rank="0" text="" dxfId="6">
      <formula>LEFT(F11,1)="5"</formula>
    </cfRule>
  </conditionalFormatting>
  <conditionalFormatting sqref="F12">
    <cfRule type="expression" priority="12" aboveAverage="0" equalAverage="0" bottom="0" percent="0" rank="0" text="" dxfId="0">
      <formula>LEFT(F12,1)="1"</formula>
    </cfRule>
    <cfRule type="expression" priority="13" aboveAverage="0" equalAverage="0" bottom="0" percent="0" rank="0" text="" dxfId="3">
      <formula>LEFT(F12,1)="2"</formula>
    </cfRule>
    <cfRule type="expression" priority="14" aboveAverage="0" equalAverage="0" bottom="0" percent="0" rank="0" text="" dxfId="4">
      <formula>LEFT(F12,1)="3"</formula>
    </cfRule>
    <cfRule type="expression" priority="15" aboveAverage="0" equalAverage="0" bottom="0" percent="0" rank="0" text="" dxfId="5">
      <formula>LEFT(F12,1)="4"</formula>
    </cfRule>
    <cfRule type="expression" priority="16" aboveAverage="0" equalAverage="0" bottom="0" percent="0" rank="0" text="" dxfId="6">
      <formula>LEFT(F12,1)="5"</formula>
    </cfRule>
  </conditionalFormatting>
  <conditionalFormatting sqref="F13">
    <cfRule type="expression" priority="17" aboveAverage="0" equalAverage="0" bottom="0" percent="0" rank="0" text="" dxfId="0">
      <formula>LEFT(F13,1)="1"</formula>
    </cfRule>
    <cfRule type="expression" priority="18" aboveAverage="0" equalAverage="0" bottom="0" percent="0" rank="0" text="" dxfId="3">
      <formula>LEFT(F13,1)="2"</formula>
    </cfRule>
    <cfRule type="expression" priority="19" aboveAverage="0" equalAverage="0" bottom="0" percent="0" rank="0" text="" dxfId="4">
      <formula>LEFT(F13,1)="3"</formula>
    </cfRule>
    <cfRule type="expression" priority="20" aboveAverage="0" equalAverage="0" bottom="0" percent="0" rank="0" text="" dxfId="5">
      <formula>LEFT(F13,1)="4"</formula>
    </cfRule>
    <cfRule type="expression" priority="21" aboveAverage="0" equalAverage="0" bottom="0" percent="0" rank="0" text="" dxfId="6">
      <formula>LEFT(F13,1)="5"</formula>
    </cfRule>
  </conditionalFormatting>
  <conditionalFormatting sqref="F14">
    <cfRule type="expression" priority="22" aboveAverage="0" equalAverage="0" bottom="0" percent="0" rank="0" text="" dxfId="0">
      <formula>LEFT(F14,1)="1"</formula>
    </cfRule>
    <cfRule type="expression" priority="23" aboveAverage="0" equalAverage="0" bottom="0" percent="0" rank="0" text="" dxfId="3">
      <formula>LEFT(F14,1)="2"</formula>
    </cfRule>
    <cfRule type="expression" priority="24" aboveAverage="0" equalAverage="0" bottom="0" percent="0" rank="0" text="" dxfId="4">
      <formula>LEFT(F14,1)="3"</formula>
    </cfRule>
    <cfRule type="expression" priority="25" aboveAverage="0" equalAverage="0" bottom="0" percent="0" rank="0" text="" dxfId="5">
      <formula>LEFT(F14,1)="4"</formula>
    </cfRule>
    <cfRule type="expression" priority="26" aboveAverage="0" equalAverage="0" bottom="0" percent="0" rank="0" text="" dxfId="6">
      <formula>LEFT(F14,1)="5"</formula>
    </cfRule>
  </conditionalFormatting>
  <conditionalFormatting sqref="F15">
    <cfRule type="expression" priority="27" aboveAverage="0" equalAverage="0" bottom="0" percent="0" rank="0" text="" dxfId="0">
      <formula>LEFT(F15,1)="1"</formula>
    </cfRule>
    <cfRule type="expression" priority="28" aboveAverage="0" equalAverage="0" bottom="0" percent="0" rank="0" text="" dxfId="3">
      <formula>LEFT(F15,1)="2"</formula>
    </cfRule>
    <cfRule type="expression" priority="29" aboveAverage="0" equalAverage="0" bottom="0" percent="0" rank="0" text="" dxfId="4">
      <formula>LEFT(F15,1)="3"</formula>
    </cfRule>
    <cfRule type="expression" priority="30" aboveAverage="0" equalAverage="0" bottom="0" percent="0" rank="0" text="" dxfId="5">
      <formula>LEFT(F15,1)="4"</formula>
    </cfRule>
    <cfRule type="expression" priority="31" aboveAverage="0" equalAverage="0" bottom="0" percent="0" rank="0" text="" dxfId="6">
      <formula>LEFT(F15,1)="5"</formula>
    </cfRule>
  </conditionalFormatting>
  <conditionalFormatting sqref="F16">
    <cfRule type="expression" priority="32" aboveAverage="0" equalAverage="0" bottom="0" percent="0" rank="0" text="" dxfId="0">
      <formula>LEFT(F16,1)="1"</formula>
    </cfRule>
    <cfRule type="expression" priority="33" aboveAverage="0" equalAverage="0" bottom="0" percent="0" rank="0" text="" dxfId="3">
      <formula>LEFT(F16,1)="2"</formula>
    </cfRule>
    <cfRule type="expression" priority="34" aboveAverage="0" equalAverage="0" bottom="0" percent="0" rank="0" text="" dxfId="4">
      <formula>LEFT(F16,1)="3"</formula>
    </cfRule>
    <cfRule type="expression" priority="35" aboveAverage="0" equalAverage="0" bottom="0" percent="0" rank="0" text="" dxfId="5">
      <formula>LEFT(F16,1)="4"</formula>
    </cfRule>
    <cfRule type="expression" priority="36" aboveAverage="0" equalAverage="0" bottom="0" percent="0" rank="0" text="" dxfId="6">
      <formula>LEFT(F16,1)="5"</formula>
    </cfRule>
  </conditionalFormatting>
  <conditionalFormatting sqref="F22">
    <cfRule type="expression" priority="37" aboveAverage="0" equalAverage="0" bottom="0" percent="0" rank="0" text="" dxfId="0">
      <formula>LEFT(F22,1)="1"</formula>
    </cfRule>
    <cfRule type="expression" priority="38" aboveAverage="0" equalAverage="0" bottom="0" percent="0" rank="0" text="" dxfId="3">
      <formula>LEFT(F22,1)="2"</formula>
    </cfRule>
    <cfRule type="expression" priority="39" aboveAverage="0" equalAverage="0" bottom="0" percent="0" rank="0" text="" dxfId="4">
      <formula>LEFT(F22,1)="3"</formula>
    </cfRule>
    <cfRule type="expression" priority="40" aboveAverage="0" equalAverage="0" bottom="0" percent="0" rank="0" text="" dxfId="5">
      <formula>LEFT(F22,1)="4"</formula>
    </cfRule>
    <cfRule type="expression" priority="41" aboveAverage="0" equalAverage="0" bottom="0" percent="0" rank="0" text="" dxfId="6">
      <formula>LEFT(F22,1)="5"</formula>
    </cfRule>
  </conditionalFormatting>
  <conditionalFormatting sqref="G22">
    <cfRule type="expression" priority="42" aboveAverage="0" equalAverage="0" bottom="0" percent="0" rank="0" text="" dxfId="0">
      <formula>LEFT(G22,1)="1"</formula>
    </cfRule>
    <cfRule type="expression" priority="43" aboveAverage="0" equalAverage="0" bottom="0" percent="0" rank="0" text="" dxfId="3">
      <formula>LEFT(G22,1)="2"</formula>
    </cfRule>
    <cfRule type="expression" priority="44" aboveAverage="0" equalAverage="0" bottom="0" percent="0" rank="0" text="" dxfId="4">
      <formula>LEFT(G22,1)="3"</formula>
    </cfRule>
    <cfRule type="expression" priority="45" aboveAverage="0" equalAverage="0" bottom="0" percent="0" rank="0" text="" dxfId="5">
      <formula>LEFT(G22,1)="4"</formula>
    </cfRule>
    <cfRule type="expression" priority="46" aboveAverage="0" equalAverage="0" bottom="0" percent="0" rank="0" text="" dxfId="6">
      <formula>LEFT(G22,1)="5"</formula>
    </cfRule>
  </conditionalFormatting>
  <conditionalFormatting sqref="H22">
    <cfRule type="expression" priority="47" aboveAverage="0" equalAverage="0" bottom="0" percent="0" rank="0" text="" dxfId="0">
      <formula>LEFT(H22,1)="1"</formula>
    </cfRule>
    <cfRule type="expression" priority="48" aboveAverage="0" equalAverage="0" bottom="0" percent="0" rank="0" text="" dxfId="3">
      <formula>LEFT(H22,1)="2"</formula>
    </cfRule>
    <cfRule type="expression" priority="49" aboveAverage="0" equalAverage="0" bottom="0" percent="0" rank="0" text="" dxfId="4">
      <formula>LEFT(H22,1)="3"</formula>
    </cfRule>
    <cfRule type="expression" priority="50" aboveAverage="0" equalAverage="0" bottom="0" percent="0" rank="0" text="" dxfId="5">
      <formula>LEFT(H22,1)="4"</formula>
    </cfRule>
    <cfRule type="expression" priority="51" aboveAverage="0" equalAverage="0" bottom="0" percent="0" rank="0" text="" dxfId="6">
      <formula>LEFT(H22,1)="5"</formula>
    </cfRule>
  </conditionalFormatting>
  <conditionalFormatting sqref="I22">
    <cfRule type="expression" priority="52" aboveAverage="0" equalAverage="0" bottom="0" percent="0" rank="0" text="" dxfId="0">
      <formula>LEFT(I22,1)="1"</formula>
    </cfRule>
    <cfRule type="expression" priority="53" aboveAverage="0" equalAverage="0" bottom="0" percent="0" rank="0" text="" dxfId="3">
      <formula>LEFT(I22,1)="2"</formula>
    </cfRule>
    <cfRule type="expression" priority="54" aboveAverage="0" equalAverage="0" bottom="0" percent="0" rank="0" text="" dxfId="4">
      <formula>LEFT(I22,1)="3"</formula>
    </cfRule>
    <cfRule type="expression" priority="55" aboveAverage="0" equalAverage="0" bottom="0" percent="0" rank="0" text="" dxfId="5">
      <formula>LEFT(I22,1)="4"</formula>
    </cfRule>
    <cfRule type="expression" priority="56" aboveAverage="0" equalAverage="0" bottom="0" percent="0" rank="0" text="" dxfId="6">
      <formula>LEFT(I22,1)="5"</formula>
    </cfRule>
  </conditionalFormatting>
  <conditionalFormatting sqref="F23">
    <cfRule type="expression" priority="57" aboveAverage="0" equalAverage="0" bottom="0" percent="0" rank="0" text="" dxfId="0">
      <formula>LEFT(F23,1)="1"</formula>
    </cfRule>
    <cfRule type="expression" priority="58" aboveAverage="0" equalAverage="0" bottom="0" percent="0" rank="0" text="" dxfId="3">
      <formula>LEFT(F23,1)="2"</formula>
    </cfRule>
    <cfRule type="expression" priority="59" aboveAverage="0" equalAverage="0" bottom="0" percent="0" rank="0" text="" dxfId="4">
      <formula>LEFT(F23,1)="3"</formula>
    </cfRule>
    <cfRule type="expression" priority="60" aboveAverage="0" equalAverage="0" bottom="0" percent="0" rank="0" text="" dxfId="5">
      <formula>LEFT(F23,1)="4"</formula>
    </cfRule>
    <cfRule type="expression" priority="61" aboveAverage="0" equalAverage="0" bottom="0" percent="0" rank="0" text="" dxfId="6">
      <formula>LEFT(F23,1)="5"</formula>
    </cfRule>
  </conditionalFormatting>
  <conditionalFormatting sqref="G23">
    <cfRule type="expression" priority="62" aboveAverage="0" equalAverage="0" bottom="0" percent="0" rank="0" text="" dxfId="0">
      <formula>LEFT(G23,1)="1"</formula>
    </cfRule>
    <cfRule type="expression" priority="63" aboveAverage="0" equalAverage="0" bottom="0" percent="0" rank="0" text="" dxfId="3">
      <formula>LEFT(G23,1)="2"</formula>
    </cfRule>
    <cfRule type="expression" priority="64" aboveAverage="0" equalAverage="0" bottom="0" percent="0" rank="0" text="" dxfId="4">
      <formula>LEFT(G23,1)="3"</formula>
    </cfRule>
    <cfRule type="expression" priority="65" aboveAverage="0" equalAverage="0" bottom="0" percent="0" rank="0" text="" dxfId="5">
      <formula>LEFT(G23,1)="4"</formula>
    </cfRule>
    <cfRule type="expression" priority="66" aboveAverage="0" equalAverage="0" bottom="0" percent="0" rank="0" text="" dxfId="6">
      <formula>LEFT(G23,1)="5"</formula>
    </cfRule>
  </conditionalFormatting>
  <conditionalFormatting sqref="H23">
    <cfRule type="expression" priority="67" aboveAverage="0" equalAverage="0" bottom="0" percent="0" rank="0" text="" dxfId="0">
      <formula>LEFT(H23,1)="1"</formula>
    </cfRule>
    <cfRule type="expression" priority="68" aboveAverage="0" equalAverage="0" bottom="0" percent="0" rank="0" text="" dxfId="3">
      <formula>LEFT(H23,1)="2"</formula>
    </cfRule>
    <cfRule type="expression" priority="69" aboveAverage="0" equalAverage="0" bottom="0" percent="0" rank="0" text="" dxfId="4">
      <formula>LEFT(H23,1)="3"</formula>
    </cfRule>
    <cfRule type="expression" priority="70" aboveAverage="0" equalAverage="0" bottom="0" percent="0" rank="0" text="" dxfId="5">
      <formula>LEFT(H23,1)="4"</formula>
    </cfRule>
    <cfRule type="expression" priority="71" aboveAverage="0" equalAverage="0" bottom="0" percent="0" rank="0" text="" dxfId="6">
      <formula>LEFT(H23,1)="5"</formula>
    </cfRule>
  </conditionalFormatting>
  <conditionalFormatting sqref="I23">
    <cfRule type="expression" priority="72" aboveAverage="0" equalAverage="0" bottom="0" percent="0" rank="0" text="" dxfId="0">
      <formula>LEFT(I23,1)="1"</formula>
    </cfRule>
    <cfRule type="expression" priority="73" aboveAverage="0" equalAverage="0" bottom="0" percent="0" rank="0" text="" dxfId="3">
      <formula>LEFT(I23,1)="2"</formula>
    </cfRule>
    <cfRule type="expression" priority="74" aboveAverage="0" equalAverage="0" bottom="0" percent="0" rank="0" text="" dxfId="4">
      <formula>LEFT(I23,1)="3"</formula>
    </cfRule>
    <cfRule type="expression" priority="75" aboveAverage="0" equalAverage="0" bottom="0" percent="0" rank="0" text="" dxfId="5">
      <formula>LEFT(I23,1)="4"</formula>
    </cfRule>
    <cfRule type="expression" priority="76" aboveAverage="0" equalAverage="0" bottom="0" percent="0" rank="0" text="" dxfId="6">
      <formula>LEFT(I23,1)="5"</formula>
    </cfRule>
  </conditionalFormatting>
  <conditionalFormatting sqref="F24">
    <cfRule type="expression" priority="77" aboveAverage="0" equalAverage="0" bottom="0" percent="0" rank="0" text="" dxfId="0">
      <formula>LEFT(F24,1)="1"</formula>
    </cfRule>
    <cfRule type="expression" priority="78" aboveAverage="0" equalAverage="0" bottom="0" percent="0" rank="0" text="" dxfId="3">
      <formula>LEFT(F24,1)="2"</formula>
    </cfRule>
    <cfRule type="expression" priority="79" aboveAverage="0" equalAverage="0" bottom="0" percent="0" rank="0" text="" dxfId="4">
      <formula>LEFT(F24,1)="3"</formula>
    </cfRule>
    <cfRule type="expression" priority="80" aboveAverage="0" equalAverage="0" bottom="0" percent="0" rank="0" text="" dxfId="5">
      <formula>LEFT(F24,1)="4"</formula>
    </cfRule>
    <cfRule type="expression" priority="81" aboveAverage="0" equalAverage="0" bottom="0" percent="0" rank="0" text="" dxfId="6">
      <formula>LEFT(F24,1)="5"</formula>
    </cfRule>
  </conditionalFormatting>
  <conditionalFormatting sqref="G24">
    <cfRule type="expression" priority="82" aboveAverage="0" equalAverage="0" bottom="0" percent="0" rank="0" text="" dxfId="0">
      <formula>LEFT(G24,1)="1"</formula>
    </cfRule>
    <cfRule type="expression" priority="83" aboveAverage="0" equalAverage="0" bottom="0" percent="0" rank="0" text="" dxfId="3">
      <formula>LEFT(G24,1)="2"</formula>
    </cfRule>
    <cfRule type="expression" priority="84" aboveAverage="0" equalAverage="0" bottom="0" percent="0" rank="0" text="" dxfId="4">
      <formula>LEFT(G24,1)="3"</formula>
    </cfRule>
    <cfRule type="expression" priority="85" aboveAverage="0" equalAverage="0" bottom="0" percent="0" rank="0" text="" dxfId="5">
      <formula>LEFT(G24,1)="4"</formula>
    </cfRule>
    <cfRule type="expression" priority="86" aboveAverage="0" equalAverage="0" bottom="0" percent="0" rank="0" text="" dxfId="6">
      <formula>LEFT(G24,1)="5"</formula>
    </cfRule>
  </conditionalFormatting>
  <conditionalFormatting sqref="H24">
    <cfRule type="expression" priority="87" aboveAverage="0" equalAverage="0" bottom="0" percent="0" rank="0" text="" dxfId="0">
      <formula>LEFT(H24,1)="1"</formula>
    </cfRule>
    <cfRule type="expression" priority="88" aboveAverage="0" equalAverage="0" bottom="0" percent="0" rank="0" text="" dxfId="3">
      <formula>LEFT(H24,1)="2"</formula>
    </cfRule>
    <cfRule type="expression" priority="89" aboveAverage="0" equalAverage="0" bottom="0" percent="0" rank="0" text="" dxfId="4">
      <formula>LEFT(H24,1)="3"</formula>
    </cfRule>
    <cfRule type="expression" priority="90" aboveAverage="0" equalAverage="0" bottom="0" percent="0" rank="0" text="" dxfId="5">
      <formula>LEFT(H24,1)="4"</formula>
    </cfRule>
    <cfRule type="expression" priority="91" aboveAverage="0" equalAverage="0" bottom="0" percent="0" rank="0" text="" dxfId="6">
      <formula>LEFT(H24,1)="5"</formula>
    </cfRule>
  </conditionalFormatting>
  <conditionalFormatting sqref="I24">
    <cfRule type="expression" priority="92" aboveAverage="0" equalAverage="0" bottom="0" percent="0" rank="0" text="" dxfId="0">
      <formula>LEFT(I24,1)="1"</formula>
    </cfRule>
    <cfRule type="expression" priority="93" aboveAverage="0" equalAverage="0" bottom="0" percent="0" rank="0" text="" dxfId="3">
      <formula>LEFT(I24,1)="2"</formula>
    </cfRule>
    <cfRule type="expression" priority="94" aboveAverage="0" equalAverage="0" bottom="0" percent="0" rank="0" text="" dxfId="4">
      <formula>LEFT(I24,1)="3"</formula>
    </cfRule>
    <cfRule type="expression" priority="95" aboveAverage="0" equalAverage="0" bottom="0" percent="0" rank="0" text="" dxfId="5">
      <formula>LEFT(I24,1)="4"</formula>
    </cfRule>
    <cfRule type="expression" priority="96" aboveAverage="0" equalAverage="0" bottom="0" percent="0" rank="0" text="" dxfId="6">
      <formula>LEFT(I24,1)="5"</formula>
    </cfRule>
  </conditionalFormatting>
  <conditionalFormatting sqref="F25">
    <cfRule type="expression" priority="97" aboveAverage="0" equalAverage="0" bottom="0" percent="0" rank="0" text="" dxfId="0">
      <formula>LEFT(F25,1)="1"</formula>
    </cfRule>
    <cfRule type="expression" priority="98" aboveAverage="0" equalAverage="0" bottom="0" percent="0" rank="0" text="" dxfId="3">
      <formula>LEFT(F25,1)="2"</formula>
    </cfRule>
    <cfRule type="expression" priority="99" aboveAverage="0" equalAverage="0" bottom="0" percent="0" rank="0" text="" dxfId="4">
      <formula>LEFT(F25,1)="3"</formula>
    </cfRule>
    <cfRule type="expression" priority="100" aboveAverage="0" equalAverage="0" bottom="0" percent="0" rank="0" text="" dxfId="5">
      <formula>LEFT(F25,1)="4"</formula>
    </cfRule>
    <cfRule type="expression" priority="101" aboveAverage="0" equalAverage="0" bottom="0" percent="0" rank="0" text="" dxfId="6">
      <formula>LEFT(F25,1)="5"</formula>
    </cfRule>
  </conditionalFormatting>
  <conditionalFormatting sqref="G25">
    <cfRule type="expression" priority="102" aboveAverage="0" equalAverage="0" bottom="0" percent="0" rank="0" text="" dxfId="0">
      <formula>LEFT(G25,1)="1"</formula>
    </cfRule>
    <cfRule type="expression" priority="103" aboveAverage="0" equalAverage="0" bottom="0" percent="0" rank="0" text="" dxfId="3">
      <formula>LEFT(G25,1)="2"</formula>
    </cfRule>
    <cfRule type="expression" priority="104" aboveAverage="0" equalAverage="0" bottom="0" percent="0" rank="0" text="" dxfId="4">
      <formula>LEFT(G25,1)="3"</formula>
    </cfRule>
    <cfRule type="expression" priority="105" aboveAverage="0" equalAverage="0" bottom="0" percent="0" rank="0" text="" dxfId="5">
      <formula>LEFT(G25,1)="4"</formula>
    </cfRule>
    <cfRule type="expression" priority="106" aboveAverage="0" equalAverage="0" bottom="0" percent="0" rank="0" text="" dxfId="6">
      <formula>LEFT(G25,1)="5"</formula>
    </cfRule>
  </conditionalFormatting>
  <conditionalFormatting sqref="H25">
    <cfRule type="expression" priority="107" aboveAverage="0" equalAverage="0" bottom="0" percent="0" rank="0" text="" dxfId="0">
      <formula>LEFT(H25,1)="1"</formula>
    </cfRule>
    <cfRule type="expression" priority="108" aboveAverage="0" equalAverage="0" bottom="0" percent="0" rank="0" text="" dxfId="3">
      <formula>LEFT(H25,1)="2"</formula>
    </cfRule>
    <cfRule type="expression" priority="109" aboveAverage="0" equalAverage="0" bottom="0" percent="0" rank="0" text="" dxfId="4">
      <formula>LEFT(H25,1)="3"</formula>
    </cfRule>
    <cfRule type="expression" priority="110" aboveAverage="0" equalAverage="0" bottom="0" percent="0" rank="0" text="" dxfId="5">
      <formula>LEFT(H25,1)="4"</formula>
    </cfRule>
    <cfRule type="expression" priority="111" aboveAverage="0" equalAverage="0" bottom="0" percent="0" rank="0" text="" dxfId="6">
      <formula>LEFT(H25,1)="5"</formula>
    </cfRule>
  </conditionalFormatting>
  <conditionalFormatting sqref="I25">
    <cfRule type="expression" priority="112" aboveAverage="0" equalAverage="0" bottom="0" percent="0" rank="0" text="" dxfId="0">
      <formula>LEFT(I25,1)="1"</formula>
    </cfRule>
    <cfRule type="expression" priority="113" aboveAverage="0" equalAverage="0" bottom="0" percent="0" rank="0" text="" dxfId="3">
      <formula>LEFT(I25,1)="2"</formula>
    </cfRule>
    <cfRule type="expression" priority="114" aboveAverage="0" equalAverage="0" bottom="0" percent="0" rank="0" text="" dxfId="4">
      <formula>LEFT(I25,1)="3"</formula>
    </cfRule>
    <cfRule type="expression" priority="115" aboveAverage="0" equalAverage="0" bottom="0" percent="0" rank="0" text="" dxfId="5">
      <formula>LEFT(I25,1)="4"</formula>
    </cfRule>
    <cfRule type="expression" priority="116" aboveAverage="0" equalAverage="0" bottom="0" percent="0" rank="0" text="" dxfId="6">
      <formula>LEFT(I25,1)="5"</formula>
    </cfRule>
  </conditionalFormatting>
  <conditionalFormatting sqref="F26">
    <cfRule type="expression" priority="117" aboveAverage="0" equalAverage="0" bottom="0" percent="0" rank="0" text="" dxfId="0">
      <formula>LEFT(F26,1)="1"</formula>
    </cfRule>
    <cfRule type="expression" priority="118" aboveAverage="0" equalAverage="0" bottom="0" percent="0" rank="0" text="" dxfId="3">
      <formula>LEFT(F26,1)="2"</formula>
    </cfRule>
    <cfRule type="expression" priority="119" aboveAverage="0" equalAverage="0" bottom="0" percent="0" rank="0" text="" dxfId="4">
      <formula>LEFT(F26,1)="3"</formula>
    </cfRule>
    <cfRule type="expression" priority="120" aboveAverage="0" equalAverage="0" bottom="0" percent="0" rank="0" text="" dxfId="5">
      <formula>LEFT(F26,1)="4"</formula>
    </cfRule>
    <cfRule type="expression" priority="121" aboveAverage="0" equalAverage="0" bottom="0" percent="0" rank="0" text="" dxfId="6">
      <formula>LEFT(F26,1)="5"</formula>
    </cfRule>
  </conditionalFormatting>
  <conditionalFormatting sqref="G26">
    <cfRule type="expression" priority="122" aboveAverage="0" equalAverage="0" bottom="0" percent="0" rank="0" text="" dxfId="0">
      <formula>LEFT(G26,1)="1"</formula>
    </cfRule>
    <cfRule type="expression" priority="123" aboveAverage="0" equalAverage="0" bottom="0" percent="0" rank="0" text="" dxfId="3">
      <formula>LEFT(G26,1)="2"</formula>
    </cfRule>
    <cfRule type="expression" priority="124" aboveAverage="0" equalAverage="0" bottom="0" percent="0" rank="0" text="" dxfId="4">
      <formula>LEFT(G26,1)="3"</formula>
    </cfRule>
    <cfRule type="expression" priority="125" aboveAverage="0" equalAverage="0" bottom="0" percent="0" rank="0" text="" dxfId="5">
      <formula>LEFT(G26,1)="4"</formula>
    </cfRule>
    <cfRule type="expression" priority="126" aboveAverage="0" equalAverage="0" bottom="0" percent="0" rank="0" text="" dxfId="6">
      <formula>LEFT(G26,1)="5"</formula>
    </cfRule>
  </conditionalFormatting>
  <conditionalFormatting sqref="H26">
    <cfRule type="expression" priority="127" aboveAverage="0" equalAverage="0" bottom="0" percent="0" rank="0" text="" dxfId="0">
      <formula>LEFT(H26,1)="1"</formula>
    </cfRule>
    <cfRule type="expression" priority="128" aboveAverage="0" equalAverage="0" bottom="0" percent="0" rank="0" text="" dxfId="3">
      <formula>LEFT(H26,1)="2"</formula>
    </cfRule>
    <cfRule type="expression" priority="129" aboveAverage="0" equalAverage="0" bottom="0" percent="0" rank="0" text="" dxfId="4">
      <formula>LEFT(H26,1)="3"</formula>
    </cfRule>
    <cfRule type="expression" priority="130" aboveAverage="0" equalAverage="0" bottom="0" percent="0" rank="0" text="" dxfId="5">
      <formula>LEFT(H26,1)="4"</formula>
    </cfRule>
    <cfRule type="expression" priority="131" aboveAverage="0" equalAverage="0" bottom="0" percent="0" rank="0" text="" dxfId="6">
      <formula>LEFT(H26,1)="5"</formula>
    </cfRule>
  </conditionalFormatting>
  <conditionalFormatting sqref="I26">
    <cfRule type="expression" priority="132" aboveAverage="0" equalAverage="0" bottom="0" percent="0" rank="0" text="" dxfId="0">
      <formula>LEFT(I26,1)="1"</formula>
    </cfRule>
    <cfRule type="expression" priority="133" aboveAverage="0" equalAverage="0" bottom="0" percent="0" rank="0" text="" dxfId="3">
      <formula>LEFT(I26,1)="2"</formula>
    </cfRule>
    <cfRule type="expression" priority="134" aboveAverage="0" equalAverage="0" bottom="0" percent="0" rank="0" text="" dxfId="4">
      <formula>LEFT(I26,1)="3"</formula>
    </cfRule>
    <cfRule type="expression" priority="135" aboveAverage="0" equalAverage="0" bottom="0" percent="0" rank="0" text="" dxfId="5">
      <formula>LEFT(I26,1)="4"</formula>
    </cfRule>
    <cfRule type="expression" priority="136" aboveAverage="0" equalAverage="0" bottom="0" percent="0" rank="0" text="" dxfId="6">
      <formula>LEFT(I26,1)="5"</formula>
    </cfRule>
  </conditionalFormatting>
  <conditionalFormatting sqref="F27">
    <cfRule type="expression" priority="137" aboveAverage="0" equalAverage="0" bottom="0" percent="0" rank="0" text="" dxfId="0">
      <formula>LEFT(F27,1)="1"</formula>
    </cfRule>
    <cfRule type="expression" priority="138" aboveAverage="0" equalAverage="0" bottom="0" percent="0" rank="0" text="" dxfId="3">
      <formula>LEFT(F27,1)="2"</formula>
    </cfRule>
    <cfRule type="expression" priority="139" aboveAverage="0" equalAverage="0" bottom="0" percent="0" rank="0" text="" dxfId="4">
      <formula>LEFT(F27,1)="3"</formula>
    </cfRule>
    <cfRule type="expression" priority="140" aboveAverage="0" equalAverage="0" bottom="0" percent="0" rank="0" text="" dxfId="5">
      <formula>LEFT(F27,1)="4"</formula>
    </cfRule>
    <cfRule type="expression" priority="141" aboveAverage="0" equalAverage="0" bottom="0" percent="0" rank="0" text="" dxfId="6">
      <formula>LEFT(F27,1)="5"</formula>
    </cfRule>
  </conditionalFormatting>
  <conditionalFormatting sqref="G27">
    <cfRule type="expression" priority="142" aboveAverage="0" equalAverage="0" bottom="0" percent="0" rank="0" text="" dxfId="0">
      <formula>LEFT(G27,1)="1"</formula>
    </cfRule>
    <cfRule type="expression" priority="143" aboveAverage="0" equalAverage="0" bottom="0" percent="0" rank="0" text="" dxfId="3">
      <formula>LEFT(G27,1)="2"</formula>
    </cfRule>
    <cfRule type="expression" priority="144" aboveAverage="0" equalAverage="0" bottom="0" percent="0" rank="0" text="" dxfId="4">
      <formula>LEFT(G27,1)="3"</formula>
    </cfRule>
    <cfRule type="expression" priority="145" aboveAverage="0" equalAverage="0" bottom="0" percent="0" rank="0" text="" dxfId="5">
      <formula>LEFT(G27,1)="4"</formula>
    </cfRule>
    <cfRule type="expression" priority="146" aboveAverage="0" equalAverage="0" bottom="0" percent="0" rank="0" text="" dxfId="6">
      <formula>LEFT(G27,1)="5"</formula>
    </cfRule>
  </conditionalFormatting>
  <conditionalFormatting sqref="H27">
    <cfRule type="expression" priority="147" aboveAverage="0" equalAverage="0" bottom="0" percent="0" rank="0" text="" dxfId="0">
      <formula>LEFT(H27,1)="1"</formula>
    </cfRule>
    <cfRule type="expression" priority="148" aboveAverage="0" equalAverage="0" bottom="0" percent="0" rank="0" text="" dxfId="3">
      <formula>LEFT(H27,1)="2"</formula>
    </cfRule>
    <cfRule type="expression" priority="149" aboveAverage="0" equalAverage="0" bottom="0" percent="0" rank="0" text="" dxfId="4">
      <formula>LEFT(H27,1)="3"</formula>
    </cfRule>
    <cfRule type="expression" priority="150" aboveAverage="0" equalAverage="0" bottom="0" percent="0" rank="0" text="" dxfId="5">
      <formula>LEFT(H27,1)="4"</formula>
    </cfRule>
    <cfRule type="expression" priority="151" aboveAverage="0" equalAverage="0" bottom="0" percent="0" rank="0" text="" dxfId="6">
      <formula>LEFT(H27,1)="5"</formula>
    </cfRule>
  </conditionalFormatting>
  <conditionalFormatting sqref="I27">
    <cfRule type="expression" priority="152" aboveAverage="0" equalAverage="0" bottom="0" percent="0" rank="0" text="" dxfId="0">
      <formula>LEFT(I27,1)="1"</formula>
    </cfRule>
    <cfRule type="expression" priority="153" aboveAverage="0" equalAverage="0" bottom="0" percent="0" rank="0" text="" dxfId="3">
      <formula>LEFT(I27,1)="2"</formula>
    </cfRule>
    <cfRule type="expression" priority="154" aboveAverage="0" equalAverage="0" bottom="0" percent="0" rank="0" text="" dxfId="4">
      <formula>LEFT(I27,1)="3"</formula>
    </cfRule>
    <cfRule type="expression" priority="155" aboveAverage="0" equalAverage="0" bottom="0" percent="0" rank="0" text="" dxfId="5">
      <formula>LEFT(I27,1)="4"</formula>
    </cfRule>
    <cfRule type="expression" priority="156" aboveAverage="0" equalAverage="0" bottom="0" percent="0" rank="0" text="" dxfId="6">
      <formula>LEFT(I27,1)="5"</formula>
    </cfRule>
  </conditionalFormatting>
  <conditionalFormatting sqref="F28">
    <cfRule type="expression" priority="157" aboveAverage="0" equalAverage="0" bottom="0" percent="0" rank="0" text="" dxfId="0">
      <formula>LEFT(F28,1)="1"</formula>
    </cfRule>
    <cfRule type="expression" priority="158" aboveAverage="0" equalAverage="0" bottom="0" percent="0" rank="0" text="" dxfId="3">
      <formula>LEFT(F28,1)="2"</formula>
    </cfRule>
    <cfRule type="expression" priority="159" aboveAverage="0" equalAverage="0" bottom="0" percent="0" rank="0" text="" dxfId="4">
      <formula>LEFT(F28,1)="3"</formula>
    </cfRule>
    <cfRule type="expression" priority="160" aboveAverage="0" equalAverage="0" bottom="0" percent="0" rank="0" text="" dxfId="5">
      <formula>LEFT(F28,1)="4"</formula>
    </cfRule>
    <cfRule type="expression" priority="161" aboveAverage="0" equalAverage="0" bottom="0" percent="0" rank="0" text="" dxfId="6">
      <formula>LEFT(F28,1)="5"</formula>
    </cfRule>
  </conditionalFormatting>
  <conditionalFormatting sqref="G28">
    <cfRule type="expression" priority="162" aboveAverage="0" equalAverage="0" bottom="0" percent="0" rank="0" text="" dxfId="0">
      <formula>LEFT(G28,1)="1"</formula>
    </cfRule>
    <cfRule type="expression" priority="163" aboveAverage="0" equalAverage="0" bottom="0" percent="0" rank="0" text="" dxfId="3">
      <formula>LEFT(G28,1)="2"</formula>
    </cfRule>
    <cfRule type="expression" priority="164" aboveAverage="0" equalAverage="0" bottom="0" percent="0" rank="0" text="" dxfId="4">
      <formula>LEFT(G28,1)="3"</formula>
    </cfRule>
    <cfRule type="expression" priority="165" aboveAverage="0" equalAverage="0" bottom="0" percent="0" rank="0" text="" dxfId="5">
      <formula>LEFT(G28,1)="4"</formula>
    </cfRule>
    <cfRule type="expression" priority="166" aboveAverage="0" equalAverage="0" bottom="0" percent="0" rank="0" text="" dxfId="6">
      <formula>LEFT(G28,1)="5"</formula>
    </cfRule>
  </conditionalFormatting>
  <conditionalFormatting sqref="H28">
    <cfRule type="expression" priority="167" aboveAverage="0" equalAverage="0" bottom="0" percent="0" rank="0" text="" dxfId="0">
      <formula>LEFT(H28,1)="1"</formula>
    </cfRule>
    <cfRule type="expression" priority="168" aboveAverage="0" equalAverage="0" bottom="0" percent="0" rank="0" text="" dxfId="3">
      <formula>LEFT(H28,1)="2"</formula>
    </cfRule>
    <cfRule type="expression" priority="169" aboveAverage="0" equalAverage="0" bottom="0" percent="0" rank="0" text="" dxfId="4">
      <formula>LEFT(H28,1)="3"</formula>
    </cfRule>
    <cfRule type="expression" priority="170" aboveAverage="0" equalAverage="0" bottom="0" percent="0" rank="0" text="" dxfId="5">
      <formula>LEFT(H28,1)="4"</formula>
    </cfRule>
    <cfRule type="expression" priority="171" aboveAverage="0" equalAverage="0" bottom="0" percent="0" rank="0" text="" dxfId="6">
      <formula>LEFT(H28,1)="5"</formula>
    </cfRule>
  </conditionalFormatting>
  <conditionalFormatting sqref="I28">
    <cfRule type="expression" priority="172" aboveAverage="0" equalAverage="0" bottom="0" percent="0" rank="0" text="" dxfId="0">
      <formula>LEFT(I28,1)="1"</formula>
    </cfRule>
    <cfRule type="expression" priority="173" aboveAverage="0" equalAverage="0" bottom="0" percent="0" rank="0" text="" dxfId="3">
      <formula>LEFT(I28,1)="2"</formula>
    </cfRule>
    <cfRule type="expression" priority="174" aboveAverage="0" equalAverage="0" bottom="0" percent="0" rank="0" text="" dxfId="4">
      <formula>LEFT(I28,1)="3"</formula>
    </cfRule>
    <cfRule type="expression" priority="175" aboveAverage="0" equalAverage="0" bottom="0" percent="0" rank="0" text="" dxfId="5">
      <formula>LEFT(I28,1)="4"</formula>
    </cfRule>
    <cfRule type="expression" priority="176" aboveAverage="0" equalAverage="0" bottom="0" percent="0" rank="0" text="" dxfId="6">
      <formula>LEFT(I28,1)="5"</formula>
    </cfRule>
  </conditionalFormatting>
  <conditionalFormatting sqref="F34">
    <cfRule type="expression" priority="177" aboveAverage="0" equalAverage="0" bottom="0" percent="0" rank="0" text="" dxfId="0">
      <formula>LEFT(F34,1)="1"</formula>
    </cfRule>
    <cfRule type="expression" priority="178" aboveAverage="0" equalAverage="0" bottom="0" percent="0" rank="0" text="" dxfId="3">
      <formula>LEFT(F34,1)="2"</formula>
    </cfRule>
    <cfRule type="expression" priority="179" aboveAverage="0" equalAverage="0" bottom="0" percent="0" rank="0" text="" dxfId="4">
      <formula>LEFT(F34,1)="3"</formula>
    </cfRule>
    <cfRule type="expression" priority="180" aboveAverage="0" equalAverage="0" bottom="0" percent="0" rank="0" text="" dxfId="5">
      <formula>LEFT(F34,1)="4"</formula>
    </cfRule>
    <cfRule type="expression" priority="181" aboveAverage="0" equalAverage="0" bottom="0" percent="0" rank="0" text="" dxfId="6">
      <formula>LEFT(F34,1)="5"</formula>
    </cfRule>
  </conditionalFormatting>
  <conditionalFormatting sqref="G34">
    <cfRule type="expression" priority="182" aboveAverage="0" equalAverage="0" bottom="0" percent="0" rank="0" text="" dxfId="0">
      <formula>LEFT(G34,1)="1"</formula>
    </cfRule>
    <cfRule type="expression" priority="183" aboveAverage="0" equalAverage="0" bottom="0" percent="0" rank="0" text="" dxfId="3">
      <formula>LEFT(G34,1)="2"</formula>
    </cfRule>
    <cfRule type="expression" priority="184" aboveAverage="0" equalAverage="0" bottom="0" percent="0" rank="0" text="" dxfId="4">
      <formula>LEFT(G34,1)="3"</formula>
    </cfRule>
    <cfRule type="expression" priority="185" aboveAverage="0" equalAverage="0" bottom="0" percent="0" rank="0" text="" dxfId="5">
      <formula>LEFT(G34,1)="4"</formula>
    </cfRule>
    <cfRule type="expression" priority="186" aboveAverage="0" equalAverage="0" bottom="0" percent="0" rank="0" text="" dxfId="6">
      <formula>LEFT(G34,1)="5"</formula>
    </cfRule>
  </conditionalFormatting>
  <conditionalFormatting sqref="H34">
    <cfRule type="expression" priority="187" aboveAverage="0" equalAverage="0" bottom="0" percent="0" rank="0" text="" dxfId="0">
      <formula>LEFT(H34,1)="1"</formula>
    </cfRule>
    <cfRule type="expression" priority="188" aboveAverage="0" equalAverage="0" bottom="0" percent="0" rank="0" text="" dxfId="3">
      <formula>LEFT(H34,1)="2"</formula>
    </cfRule>
    <cfRule type="expression" priority="189" aboveAverage="0" equalAverage="0" bottom="0" percent="0" rank="0" text="" dxfId="4">
      <formula>LEFT(H34,1)="3"</formula>
    </cfRule>
    <cfRule type="expression" priority="190" aboveAverage="0" equalAverage="0" bottom="0" percent="0" rank="0" text="" dxfId="5">
      <formula>LEFT(H34,1)="4"</formula>
    </cfRule>
    <cfRule type="expression" priority="191" aboveAverage="0" equalAverage="0" bottom="0" percent="0" rank="0" text="" dxfId="6">
      <formula>LEFT(H34,1)="5"</formula>
    </cfRule>
  </conditionalFormatting>
  <conditionalFormatting sqref="I34">
    <cfRule type="expression" priority="192" aboveAverage="0" equalAverage="0" bottom="0" percent="0" rank="0" text="" dxfId="0">
      <formula>LEFT(I34,1)="1"</formula>
    </cfRule>
    <cfRule type="expression" priority="193" aboveAverage="0" equalAverage="0" bottom="0" percent="0" rank="0" text="" dxfId="3">
      <formula>LEFT(I34,1)="2"</formula>
    </cfRule>
    <cfRule type="expression" priority="194" aboveAverage="0" equalAverage="0" bottom="0" percent="0" rank="0" text="" dxfId="4">
      <formula>LEFT(I34,1)="3"</formula>
    </cfRule>
    <cfRule type="expression" priority="195" aboveAverage="0" equalAverage="0" bottom="0" percent="0" rank="0" text="" dxfId="5">
      <formula>LEFT(I34,1)="4"</formula>
    </cfRule>
    <cfRule type="expression" priority="196" aboveAverage="0" equalAverage="0" bottom="0" percent="0" rank="0" text="" dxfId="6">
      <formula>LEFT(I34,1)="5"</formula>
    </cfRule>
  </conditionalFormatting>
  <conditionalFormatting sqref="F35">
    <cfRule type="expression" priority="197" aboveAverage="0" equalAverage="0" bottom="0" percent="0" rank="0" text="" dxfId="0">
      <formula>LEFT(F35,1)="1"</formula>
    </cfRule>
    <cfRule type="expression" priority="198" aboveAverage="0" equalAverage="0" bottom="0" percent="0" rank="0" text="" dxfId="3">
      <formula>LEFT(F35,1)="2"</formula>
    </cfRule>
    <cfRule type="expression" priority="199" aboveAverage="0" equalAverage="0" bottom="0" percent="0" rank="0" text="" dxfId="4">
      <formula>LEFT(F35,1)="3"</formula>
    </cfRule>
    <cfRule type="expression" priority="200" aboveAverage="0" equalAverage="0" bottom="0" percent="0" rank="0" text="" dxfId="5">
      <formula>LEFT(F35,1)="4"</formula>
    </cfRule>
    <cfRule type="expression" priority="201" aboveAverage="0" equalAverage="0" bottom="0" percent="0" rank="0" text="" dxfId="6">
      <formula>LEFT(F35,1)="5"</formula>
    </cfRule>
  </conditionalFormatting>
  <conditionalFormatting sqref="G35">
    <cfRule type="expression" priority="202" aboveAverage="0" equalAverage="0" bottom="0" percent="0" rank="0" text="" dxfId="0">
      <formula>LEFT(G35,1)="1"</formula>
    </cfRule>
    <cfRule type="expression" priority="203" aboveAverage="0" equalAverage="0" bottom="0" percent="0" rank="0" text="" dxfId="3">
      <formula>LEFT(G35,1)="2"</formula>
    </cfRule>
    <cfRule type="expression" priority="204" aboveAverage="0" equalAverage="0" bottom="0" percent="0" rank="0" text="" dxfId="4">
      <formula>LEFT(G35,1)="3"</formula>
    </cfRule>
    <cfRule type="expression" priority="205" aboveAverage="0" equalAverage="0" bottom="0" percent="0" rank="0" text="" dxfId="5">
      <formula>LEFT(G35,1)="4"</formula>
    </cfRule>
    <cfRule type="expression" priority="206" aboveAverage="0" equalAverage="0" bottom="0" percent="0" rank="0" text="" dxfId="6">
      <formula>LEFT(G35,1)="5"</formula>
    </cfRule>
  </conditionalFormatting>
  <conditionalFormatting sqref="H35">
    <cfRule type="expression" priority="207" aboveAverage="0" equalAverage="0" bottom="0" percent="0" rank="0" text="" dxfId="0">
      <formula>LEFT(H35,1)="1"</formula>
    </cfRule>
    <cfRule type="expression" priority="208" aboveAverage="0" equalAverage="0" bottom="0" percent="0" rank="0" text="" dxfId="3">
      <formula>LEFT(H35,1)="2"</formula>
    </cfRule>
    <cfRule type="expression" priority="209" aboveAverage="0" equalAverage="0" bottom="0" percent="0" rank="0" text="" dxfId="4">
      <formula>LEFT(H35,1)="3"</formula>
    </cfRule>
    <cfRule type="expression" priority="210" aboveAverage="0" equalAverage="0" bottom="0" percent="0" rank="0" text="" dxfId="5">
      <formula>LEFT(H35,1)="4"</formula>
    </cfRule>
    <cfRule type="expression" priority="211" aboveAverage="0" equalAverage="0" bottom="0" percent="0" rank="0" text="" dxfId="6">
      <formula>LEFT(H35,1)="5"</formula>
    </cfRule>
  </conditionalFormatting>
  <conditionalFormatting sqref="I35">
    <cfRule type="expression" priority="212" aboveAverage="0" equalAverage="0" bottom="0" percent="0" rank="0" text="" dxfId="0">
      <formula>LEFT(I35,1)="1"</formula>
    </cfRule>
    <cfRule type="expression" priority="213" aboveAverage="0" equalAverage="0" bottom="0" percent="0" rank="0" text="" dxfId="3">
      <formula>LEFT(I35,1)="2"</formula>
    </cfRule>
    <cfRule type="expression" priority="214" aboveAverage="0" equalAverage="0" bottom="0" percent="0" rank="0" text="" dxfId="4">
      <formula>LEFT(I35,1)="3"</formula>
    </cfRule>
    <cfRule type="expression" priority="215" aboveAverage="0" equalAverage="0" bottom="0" percent="0" rank="0" text="" dxfId="5">
      <formula>LEFT(I35,1)="4"</formula>
    </cfRule>
    <cfRule type="expression" priority="216" aboveAverage="0" equalAverage="0" bottom="0" percent="0" rank="0" text="" dxfId="6">
      <formula>LEFT(I35,1)="5"</formula>
    </cfRule>
  </conditionalFormatting>
  <conditionalFormatting sqref="F36">
    <cfRule type="expression" priority="217" aboveAverage="0" equalAverage="0" bottom="0" percent="0" rank="0" text="" dxfId="0">
      <formula>LEFT(F36,1)="1"</formula>
    </cfRule>
    <cfRule type="expression" priority="218" aboveAverage="0" equalAverage="0" bottom="0" percent="0" rank="0" text="" dxfId="3">
      <formula>LEFT(F36,1)="2"</formula>
    </cfRule>
    <cfRule type="expression" priority="219" aboveAverage="0" equalAverage="0" bottom="0" percent="0" rank="0" text="" dxfId="4">
      <formula>LEFT(F36,1)="3"</formula>
    </cfRule>
    <cfRule type="expression" priority="220" aboveAverage="0" equalAverage="0" bottom="0" percent="0" rank="0" text="" dxfId="5">
      <formula>LEFT(F36,1)="4"</formula>
    </cfRule>
    <cfRule type="expression" priority="221" aboveAverage="0" equalAverage="0" bottom="0" percent="0" rank="0" text="" dxfId="6">
      <formula>LEFT(F36,1)="5"</formula>
    </cfRule>
  </conditionalFormatting>
  <conditionalFormatting sqref="G36">
    <cfRule type="expression" priority="222" aboveAverage="0" equalAverage="0" bottom="0" percent="0" rank="0" text="" dxfId="0">
      <formula>LEFT(G36,1)="1"</formula>
    </cfRule>
    <cfRule type="expression" priority="223" aboveAverage="0" equalAverage="0" bottom="0" percent="0" rank="0" text="" dxfId="3">
      <formula>LEFT(G36,1)="2"</formula>
    </cfRule>
    <cfRule type="expression" priority="224" aboveAverage="0" equalAverage="0" bottom="0" percent="0" rank="0" text="" dxfId="4">
      <formula>LEFT(G36,1)="3"</formula>
    </cfRule>
    <cfRule type="expression" priority="225" aboveAverage="0" equalAverage="0" bottom="0" percent="0" rank="0" text="" dxfId="5">
      <formula>LEFT(G36,1)="4"</formula>
    </cfRule>
    <cfRule type="expression" priority="226" aboveAverage="0" equalAverage="0" bottom="0" percent="0" rank="0" text="" dxfId="6">
      <formula>LEFT(G36,1)="5"</formula>
    </cfRule>
  </conditionalFormatting>
  <conditionalFormatting sqref="H36">
    <cfRule type="expression" priority="227" aboveAverage="0" equalAverage="0" bottom="0" percent="0" rank="0" text="" dxfId="0">
      <formula>LEFT(H36,1)="1"</formula>
    </cfRule>
    <cfRule type="expression" priority="228" aboveAverage="0" equalAverage="0" bottom="0" percent="0" rank="0" text="" dxfId="3">
      <formula>LEFT(H36,1)="2"</formula>
    </cfRule>
    <cfRule type="expression" priority="229" aboveAverage="0" equalAverage="0" bottom="0" percent="0" rank="0" text="" dxfId="4">
      <formula>LEFT(H36,1)="3"</formula>
    </cfRule>
    <cfRule type="expression" priority="230" aboveAverage="0" equalAverage="0" bottom="0" percent="0" rank="0" text="" dxfId="5">
      <formula>LEFT(H36,1)="4"</formula>
    </cfRule>
    <cfRule type="expression" priority="231" aboveAverage="0" equalAverage="0" bottom="0" percent="0" rank="0" text="" dxfId="6">
      <formula>LEFT(H36,1)="5"</formula>
    </cfRule>
  </conditionalFormatting>
  <conditionalFormatting sqref="I36">
    <cfRule type="expression" priority="232" aboveAverage="0" equalAverage="0" bottom="0" percent="0" rank="0" text="" dxfId="0">
      <formula>LEFT(I36,1)="1"</formula>
    </cfRule>
    <cfRule type="expression" priority="233" aboveAverage="0" equalAverage="0" bottom="0" percent="0" rank="0" text="" dxfId="3">
      <formula>LEFT(I36,1)="2"</formula>
    </cfRule>
    <cfRule type="expression" priority="234" aboveAverage="0" equalAverage="0" bottom="0" percent="0" rank="0" text="" dxfId="4">
      <formula>LEFT(I36,1)="3"</formula>
    </cfRule>
    <cfRule type="expression" priority="235" aboveAverage="0" equalAverage="0" bottom="0" percent="0" rank="0" text="" dxfId="5">
      <formula>LEFT(I36,1)="4"</formula>
    </cfRule>
    <cfRule type="expression" priority="236" aboveAverage="0" equalAverage="0" bottom="0" percent="0" rank="0" text="" dxfId="6">
      <formula>LEFT(I36,1)="5"</formula>
    </cfRule>
  </conditionalFormatting>
  <conditionalFormatting sqref="F37">
    <cfRule type="expression" priority="237" aboveAverage="0" equalAverage="0" bottom="0" percent="0" rank="0" text="" dxfId="0">
      <formula>LEFT(F37,1)="1"</formula>
    </cfRule>
    <cfRule type="expression" priority="238" aboveAverage="0" equalAverage="0" bottom="0" percent="0" rank="0" text="" dxfId="3">
      <formula>LEFT(F37,1)="2"</formula>
    </cfRule>
    <cfRule type="expression" priority="239" aboveAverage="0" equalAverage="0" bottom="0" percent="0" rank="0" text="" dxfId="4">
      <formula>LEFT(F37,1)="3"</formula>
    </cfRule>
    <cfRule type="expression" priority="240" aboveAverage="0" equalAverage="0" bottom="0" percent="0" rank="0" text="" dxfId="5">
      <formula>LEFT(F37,1)="4"</formula>
    </cfRule>
    <cfRule type="expression" priority="241" aboveAverage="0" equalAverage="0" bottom="0" percent="0" rank="0" text="" dxfId="6">
      <formula>LEFT(F37,1)="5"</formula>
    </cfRule>
  </conditionalFormatting>
  <conditionalFormatting sqref="G37">
    <cfRule type="expression" priority="242" aboveAverage="0" equalAverage="0" bottom="0" percent="0" rank="0" text="" dxfId="0">
      <formula>LEFT(G37,1)="1"</formula>
    </cfRule>
    <cfRule type="expression" priority="243" aboveAverage="0" equalAverage="0" bottom="0" percent="0" rank="0" text="" dxfId="3">
      <formula>LEFT(G37,1)="2"</formula>
    </cfRule>
    <cfRule type="expression" priority="244" aboveAverage="0" equalAverage="0" bottom="0" percent="0" rank="0" text="" dxfId="4">
      <formula>LEFT(G37,1)="3"</formula>
    </cfRule>
    <cfRule type="expression" priority="245" aboveAverage="0" equalAverage="0" bottom="0" percent="0" rank="0" text="" dxfId="5">
      <formula>LEFT(G37,1)="4"</formula>
    </cfRule>
    <cfRule type="expression" priority="246" aboveAverage="0" equalAverage="0" bottom="0" percent="0" rank="0" text="" dxfId="6">
      <formula>LEFT(G37,1)="5"</formula>
    </cfRule>
  </conditionalFormatting>
  <conditionalFormatting sqref="H37">
    <cfRule type="expression" priority="247" aboveAverage="0" equalAverage="0" bottom="0" percent="0" rank="0" text="" dxfId="0">
      <formula>LEFT(H37,1)="1"</formula>
    </cfRule>
    <cfRule type="expression" priority="248" aboveAverage="0" equalAverage="0" bottom="0" percent="0" rank="0" text="" dxfId="3">
      <formula>LEFT(H37,1)="2"</formula>
    </cfRule>
    <cfRule type="expression" priority="249" aboveAverage="0" equalAverage="0" bottom="0" percent="0" rank="0" text="" dxfId="4">
      <formula>LEFT(H37,1)="3"</formula>
    </cfRule>
    <cfRule type="expression" priority="250" aboveAverage="0" equalAverage="0" bottom="0" percent="0" rank="0" text="" dxfId="5">
      <formula>LEFT(H37,1)="4"</formula>
    </cfRule>
    <cfRule type="expression" priority="251" aboveAverage="0" equalAverage="0" bottom="0" percent="0" rank="0" text="" dxfId="6">
      <formula>LEFT(H37,1)="5"</formula>
    </cfRule>
  </conditionalFormatting>
  <conditionalFormatting sqref="I37">
    <cfRule type="expression" priority="252" aboveAverage="0" equalAverage="0" bottom="0" percent="0" rank="0" text="" dxfId="0">
      <formula>LEFT(I37,1)="1"</formula>
    </cfRule>
    <cfRule type="expression" priority="253" aboveAverage="0" equalAverage="0" bottom="0" percent="0" rank="0" text="" dxfId="3">
      <formula>LEFT(I37,1)="2"</formula>
    </cfRule>
    <cfRule type="expression" priority="254" aboveAverage="0" equalAverage="0" bottom="0" percent="0" rank="0" text="" dxfId="4">
      <formula>LEFT(I37,1)="3"</formula>
    </cfRule>
    <cfRule type="expression" priority="255" aboveAverage="0" equalAverage="0" bottom="0" percent="0" rank="0" text="" dxfId="5">
      <formula>LEFT(I37,1)="4"</formula>
    </cfRule>
    <cfRule type="expression" priority="256" aboveAverage="0" equalAverage="0" bottom="0" percent="0" rank="0" text="" dxfId="6">
      <formula>LEFT(I37,1)="5"</formula>
    </cfRule>
  </conditionalFormatting>
  <conditionalFormatting sqref="F38">
    <cfRule type="expression" priority="257" aboveAverage="0" equalAverage="0" bottom="0" percent="0" rank="0" text="" dxfId="0">
      <formula>LEFT(F38,1)="1"</formula>
    </cfRule>
    <cfRule type="expression" priority="258" aboveAverage="0" equalAverage="0" bottom="0" percent="0" rank="0" text="" dxfId="3">
      <formula>LEFT(F38,1)="2"</formula>
    </cfRule>
    <cfRule type="expression" priority="259" aboveAverage="0" equalAverage="0" bottom="0" percent="0" rank="0" text="" dxfId="4">
      <formula>LEFT(F38,1)="3"</formula>
    </cfRule>
    <cfRule type="expression" priority="260" aboveAverage="0" equalAverage="0" bottom="0" percent="0" rank="0" text="" dxfId="5">
      <formula>LEFT(F38,1)="4"</formula>
    </cfRule>
    <cfRule type="expression" priority="261" aboveAverage="0" equalAverage="0" bottom="0" percent="0" rank="0" text="" dxfId="6">
      <formula>LEFT(F38,1)="5"</formula>
    </cfRule>
  </conditionalFormatting>
  <conditionalFormatting sqref="G38">
    <cfRule type="expression" priority="262" aboveAverage="0" equalAverage="0" bottom="0" percent="0" rank="0" text="" dxfId="0">
      <formula>LEFT(G38,1)="1"</formula>
    </cfRule>
    <cfRule type="expression" priority="263" aboveAverage="0" equalAverage="0" bottom="0" percent="0" rank="0" text="" dxfId="3">
      <formula>LEFT(G38,1)="2"</formula>
    </cfRule>
    <cfRule type="expression" priority="264" aboveAverage="0" equalAverage="0" bottom="0" percent="0" rank="0" text="" dxfId="4">
      <formula>LEFT(G38,1)="3"</formula>
    </cfRule>
    <cfRule type="expression" priority="265" aboveAverage="0" equalAverage="0" bottom="0" percent="0" rank="0" text="" dxfId="5">
      <formula>LEFT(G38,1)="4"</formula>
    </cfRule>
    <cfRule type="expression" priority="266" aboveAverage="0" equalAverage="0" bottom="0" percent="0" rank="0" text="" dxfId="6">
      <formula>LEFT(G38,1)="5"</formula>
    </cfRule>
  </conditionalFormatting>
  <conditionalFormatting sqref="H38">
    <cfRule type="expression" priority="267" aboveAverage="0" equalAverage="0" bottom="0" percent="0" rank="0" text="" dxfId="0">
      <formula>LEFT(H38,1)="1"</formula>
    </cfRule>
    <cfRule type="expression" priority="268" aboveAverage="0" equalAverage="0" bottom="0" percent="0" rank="0" text="" dxfId="3">
      <formula>LEFT(H38,1)="2"</formula>
    </cfRule>
    <cfRule type="expression" priority="269" aboveAverage="0" equalAverage="0" bottom="0" percent="0" rank="0" text="" dxfId="4">
      <formula>LEFT(H38,1)="3"</formula>
    </cfRule>
    <cfRule type="expression" priority="270" aboveAverage="0" equalAverage="0" bottom="0" percent="0" rank="0" text="" dxfId="5">
      <formula>LEFT(H38,1)="4"</formula>
    </cfRule>
    <cfRule type="expression" priority="271" aboveAverage="0" equalAverage="0" bottom="0" percent="0" rank="0" text="" dxfId="6">
      <formula>LEFT(H38,1)="5"</formula>
    </cfRule>
  </conditionalFormatting>
  <conditionalFormatting sqref="I38">
    <cfRule type="expression" priority="272" aboveAverage="0" equalAverage="0" bottom="0" percent="0" rank="0" text="" dxfId="0">
      <formula>LEFT(I38,1)="1"</formula>
    </cfRule>
    <cfRule type="expression" priority="273" aboveAverage="0" equalAverage="0" bottom="0" percent="0" rank="0" text="" dxfId="3">
      <formula>LEFT(I38,1)="2"</formula>
    </cfRule>
    <cfRule type="expression" priority="274" aboveAverage="0" equalAverage="0" bottom="0" percent="0" rank="0" text="" dxfId="4">
      <formula>LEFT(I38,1)="3"</formula>
    </cfRule>
    <cfRule type="expression" priority="275" aboveAverage="0" equalAverage="0" bottom="0" percent="0" rank="0" text="" dxfId="5">
      <formula>LEFT(I38,1)="4"</formula>
    </cfRule>
    <cfRule type="expression" priority="276" aboveAverage="0" equalAverage="0" bottom="0" percent="0" rank="0" text="" dxfId="6">
      <formula>LEFT(I38,1)="5"</formula>
    </cfRule>
  </conditionalFormatting>
  <conditionalFormatting sqref="F39">
    <cfRule type="expression" priority="277" aboveAverage="0" equalAverage="0" bottom="0" percent="0" rank="0" text="" dxfId="0">
      <formula>LEFT(F39,1)="1"</formula>
    </cfRule>
    <cfRule type="expression" priority="278" aboveAverage="0" equalAverage="0" bottom="0" percent="0" rank="0" text="" dxfId="3">
      <formula>LEFT(F39,1)="2"</formula>
    </cfRule>
    <cfRule type="expression" priority="279" aboveAverage="0" equalAverage="0" bottom="0" percent="0" rank="0" text="" dxfId="4">
      <formula>LEFT(F39,1)="3"</formula>
    </cfRule>
    <cfRule type="expression" priority="280" aboveAverage="0" equalAverage="0" bottom="0" percent="0" rank="0" text="" dxfId="5">
      <formula>LEFT(F39,1)="4"</formula>
    </cfRule>
    <cfRule type="expression" priority="281" aboveAverage="0" equalAverage="0" bottom="0" percent="0" rank="0" text="" dxfId="6">
      <formula>LEFT(F39,1)="5"</formula>
    </cfRule>
  </conditionalFormatting>
  <conditionalFormatting sqref="G39">
    <cfRule type="expression" priority="282" aboveAverage="0" equalAverage="0" bottom="0" percent="0" rank="0" text="" dxfId="0">
      <formula>LEFT(G39,1)="1"</formula>
    </cfRule>
    <cfRule type="expression" priority="283" aboveAverage="0" equalAverage="0" bottom="0" percent="0" rank="0" text="" dxfId="3">
      <formula>LEFT(G39,1)="2"</formula>
    </cfRule>
    <cfRule type="expression" priority="284" aboveAverage="0" equalAverage="0" bottom="0" percent="0" rank="0" text="" dxfId="4">
      <formula>LEFT(G39,1)="3"</formula>
    </cfRule>
    <cfRule type="expression" priority="285" aboveAverage="0" equalAverage="0" bottom="0" percent="0" rank="0" text="" dxfId="5">
      <formula>LEFT(G39,1)="4"</formula>
    </cfRule>
    <cfRule type="expression" priority="286" aboveAverage="0" equalAverage="0" bottom="0" percent="0" rank="0" text="" dxfId="6">
      <formula>LEFT(G39,1)="5"</formula>
    </cfRule>
  </conditionalFormatting>
  <conditionalFormatting sqref="H39">
    <cfRule type="expression" priority="287" aboveAverage="0" equalAverage="0" bottom="0" percent="0" rank="0" text="" dxfId="0">
      <formula>LEFT(H39,1)="1"</formula>
    </cfRule>
    <cfRule type="expression" priority="288" aboveAverage="0" equalAverage="0" bottom="0" percent="0" rank="0" text="" dxfId="3">
      <formula>LEFT(H39,1)="2"</formula>
    </cfRule>
    <cfRule type="expression" priority="289" aboveAverage="0" equalAverage="0" bottom="0" percent="0" rank="0" text="" dxfId="4">
      <formula>LEFT(H39,1)="3"</formula>
    </cfRule>
    <cfRule type="expression" priority="290" aboveAverage="0" equalAverage="0" bottom="0" percent="0" rank="0" text="" dxfId="5">
      <formula>LEFT(H39,1)="4"</formula>
    </cfRule>
    <cfRule type="expression" priority="291" aboveAverage="0" equalAverage="0" bottom="0" percent="0" rank="0" text="" dxfId="6">
      <formula>LEFT(H39,1)="5"</formula>
    </cfRule>
  </conditionalFormatting>
  <conditionalFormatting sqref="I39">
    <cfRule type="expression" priority="292" aboveAverage="0" equalAverage="0" bottom="0" percent="0" rank="0" text="" dxfId="0">
      <formula>LEFT(I39,1)="1"</formula>
    </cfRule>
    <cfRule type="expression" priority="293" aboveAverage="0" equalAverage="0" bottom="0" percent="0" rank="0" text="" dxfId="3">
      <formula>LEFT(I39,1)="2"</formula>
    </cfRule>
    <cfRule type="expression" priority="294" aboveAverage="0" equalAverage="0" bottom="0" percent="0" rank="0" text="" dxfId="4">
      <formula>LEFT(I39,1)="3"</formula>
    </cfRule>
    <cfRule type="expression" priority="295" aboveAverage="0" equalAverage="0" bottom="0" percent="0" rank="0" text="" dxfId="5">
      <formula>LEFT(I39,1)="4"</formula>
    </cfRule>
    <cfRule type="expression" priority="296" aboveAverage="0" equalAverage="0" bottom="0" percent="0" rank="0" text="" dxfId="6">
      <formula>LEFT(I39,1)="5"</formula>
    </cfRule>
  </conditionalFormatting>
  <conditionalFormatting sqref="F40">
    <cfRule type="expression" priority="297" aboveAverage="0" equalAverage="0" bottom="0" percent="0" rank="0" text="" dxfId="0">
      <formula>LEFT(F40,1)="1"</formula>
    </cfRule>
    <cfRule type="expression" priority="298" aboveAverage="0" equalAverage="0" bottom="0" percent="0" rank="0" text="" dxfId="3">
      <formula>LEFT(F40,1)="2"</formula>
    </cfRule>
    <cfRule type="expression" priority="299" aboveAverage="0" equalAverage="0" bottom="0" percent="0" rank="0" text="" dxfId="4">
      <formula>LEFT(F40,1)="3"</formula>
    </cfRule>
    <cfRule type="expression" priority="300" aboveAverage="0" equalAverage="0" bottom="0" percent="0" rank="0" text="" dxfId="5">
      <formula>LEFT(F40,1)="4"</formula>
    </cfRule>
    <cfRule type="expression" priority="301" aboveAverage="0" equalAverage="0" bottom="0" percent="0" rank="0" text="" dxfId="6">
      <formula>LEFT(F40,1)="5"</formula>
    </cfRule>
  </conditionalFormatting>
  <conditionalFormatting sqref="G40">
    <cfRule type="expression" priority="302" aboveAverage="0" equalAverage="0" bottom="0" percent="0" rank="0" text="" dxfId="0">
      <formula>LEFT(G40,1)="1"</formula>
    </cfRule>
    <cfRule type="expression" priority="303" aboveAverage="0" equalAverage="0" bottom="0" percent="0" rank="0" text="" dxfId="3">
      <formula>LEFT(G40,1)="2"</formula>
    </cfRule>
    <cfRule type="expression" priority="304" aboveAverage="0" equalAverage="0" bottom="0" percent="0" rank="0" text="" dxfId="4">
      <formula>LEFT(G40,1)="3"</formula>
    </cfRule>
    <cfRule type="expression" priority="305" aboveAverage="0" equalAverage="0" bottom="0" percent="0" rank="0" text="" dxfId="5">
      <formula>LEFT(G40,1)="4"</formula>
    </cfRule>
    <cfRule type="expression" priority="306" aboveAverage="0" equalAverage="0" bottom="0" percent="0" rank="0" text="" dxfId="6">
      <formula>LEFT(G40,1)="5"</formula>
    </cfRule>
  </conditionalFormatting>
  <conditionalFormatting sqref="H40">
    <cfRule type="expression" priority="307" aboveAverage="0" equalAverage="0" bottom="0" percent="0" rank="0" text="" dxfId="0">
      <formula>LEFT(H40,1)="1"</formula>
    </cfRule>
    <cfRule type="expression" priority="308" aboveAverage="0" equalAverage="0" bottom="0" percent="0" rank="0" text="" dxfId="3">
      <formula>LEFT(H40,1)="2"</formula>
    </cfRule>
    <cfRule type="expression" priority="309" aboveAverage="0" equalAverage="0" bottom="0" percent="0" rank="0" text="" dxfId="4">
      <formula>LEFT(H40,1)="3"</formula>
    </cfRule>
    <cfRule type="expression" priority="310" aboveAverage="0" equalAverage="0" bottom="0" percent="0" rank="0" text="" dxfId="5">
      <formula>LEFT(H40,1)="4"</formula>
    </cfRule>
    <cfRule type="expression" priority="311" aboveAverage="0" equalAverage="0" bottom="0" percent="0" rank="0" text="" dxfId="6">
      <formula>LEFT(H40,1)="5"</formula>
    </cfRule>
  </conditionalFormatting>
  <conditionalFormatting sqref="I40">
    <cfRule type="expression" priority="312" aboveAverage="0" equalAverage="0" bottom="0" percent="0" rank="0" text="" dxfId="0">
      <formula>LEFT(I40,1)="1"</formula>
    </cfRule>
    <cfRule type="expression" priority="313" aboveAverage="0" equalAverage="0" bottom="0" percent="0" rank="0" text="" dxfId="3">
      <formula>LEFT(I40,1)="2"</formula>
    </cfRule>
    <cfRule type="expression" priority="314" aboveAverage="0" equalAverage="0" bottom="0" percent="0" rank="0" text="" dxfId="4">
      <formula>LEFT(I40,1)="3"</formula>
    </cfRule>
    <cfRule type="expression" priority="315" aboveAverage="0" equalAverage="0" bottom="0" percent="0" rank="0" text="" dxfId="5">
      <formula>LEFT(I40,1)="4"</formula>
    </cfRule>
    <cfRule type="expression" priority="316" aboveAverage="0" equalAverage="0" bottom="0" percent="0" rank="0" text="" dxfId="6">
      <formula>LEFT(I40,1)="5"</formula>
    </cfRule>
  </conditionalFormatting>
  <conditionalFormatting sqref="F46">
    <cfRule type="expression" priority="317" aboveAverage="0" equalAverage="0" bottom="0" percent="0" rank="0" text="" dxfId="0">
      <formula>LEFT(F46,1)="1"</formula>
    </cfRule>
    <cfRule type="expression" priority="318" aboveAverage="0" equalAverage="0" bottom="0" percent="0" rank="0" text="" dxfId="3">
      <formula>LEFT(F46,1)="2"</formula>
    </cfRule>
    <cfRule type="expression" priority="319" aboveAverage="0" equalAverage="0" bottom="0" percent="0" rank="0" text="" dxfId="4">
      <formula>LEFT(F46,1)="3"</formula>
    </cfRule>
    <cfRule type="expression" priority="320" aboveAverage="0" equalAverage="0" bottom="0" percent="0" rank="0" text="" dxfId="5">
      <formula>LEFT(F46,1)="4"</formula>
    </cfRule>
    <cfRule type="expression" priority="321" aboveAverage="0" equalAverage="0" bottom="0" percent="0" rank="0" text="" dxfId="6">
      <formula>LEFT(F46,1)="5"</formula>
    </cfRule>
  </conditionalFormatting>
  <conditionalFormatting sqref="G46">
    <cfRule type="expression" priority="322" aboveAverage="0" equalAverage="0" bottom="0" percent="0" rank="0" text="" dxfId="0">
      <formula>LEFT(G46,1)="1"</formula>
    </cfRule>
    <cfRule type="expression" priority="323" aboveAverage="0" equalAverage="0" bottom="0" percent="0" rank="0" text="" dxfId="3">
      <formula>LEFT(G46,1)="2"</formula>
    </cfRule>
    <cfRule type="expression" priority="324" aboveAverage="0" equalAverage="0" bottom="0" percent="0" rank="0" text="" dxfId="4">
      <formula>LEFT(G46,1)="3"</formula>
    </cfRule>
    <cfRule type="expression" priority="325" aboveAverage="0" equalAverage="0" bottom="0" percent="0" rank="0" text="" dxfId="5">
      <formula>LEFT(G46,1)="4"</formula>
    </cfRule>
    <cfRule type="expression" priority="326" aboveAverage="0" equalAverage="0" bottom="0" percent="0" rank="0" text="" dxfId="6">
      <formula>LEFT(G46,1)="5"</formula>
    </cfRule>
  </conditionalFormatting>
  <conditionalFormatting sqref="H46">
    <cfRule type="expression" priority="327" aboveAverage="0" equalAverage="0" bottom="0" percent="0" rank="0" text="" dxfId="0">
      <formula>LEFT(H46,1)="1"</formula>
    </cfRule>
    <cfRule type="expression" priority="328" aboveAverage="0" equalAverage="0" bottom="0" percent="0" rank="0" text="" dxfId="3">
      <formula>LEFT(H46,1)="2"</formula>
    </cfRule>
    <cfRule type="expression" priority="329" aboveAverage="0" equalAverage="0" bottom="0" percent="0" rank="0" text="" dxfId="4">
      <formula>LEFT(H46,1)="3"</formula>
    </cfRule>
    <cfRule type="expression" priority="330" aboveAverage="0" equalAverage="0" bottom="0" percent="0" rank="0" text="" dxfId="5">
      <formula>LEFT(H46,1)="4"</formula>
    </cfRule>
    <cfRule type="expression" priority="331" aboveAverage="0" equalAverage="0" bottom="0" percent="0" rank="0" text="" dxfId="6">
      <formula>LEFT(H46,1)="5"</formula>
    </cfRule>
  </conditionalFormatting>
  <conditionalFormatting sqref="I46">
    <cfRule type="expression" priority="332" aboveAverage="0" equalAverage="0" bottom="0" percent="0" rank="0" text="" dxfId="0">
      <formula>LEFT(I46,1)="1"</formula>
    </cfRule>
    <cfRule type="expression" priority="333" aboveAverage="0" equalAverage="0" bottom="0" percent="0" rank="0" text="" dxfId="3">
      <formula>LEFT(I46,1)="2"</formula>
    </cfRule>
    <cfRule type="expression" priority="334" aboveAverage="0" equalAverage="0" bottom="0" percent="0" rank="0" text="" dxfId="4">
      <formula>LEFT(I46,1)="3"</formula>
    </cfRule>
    <cfRule type="expression" priority="335" aboveAverage="0" equalAverage="0" bottom="0" percent="0" rank="0" text="" dxfId="5">
      <formula>LEFT(I46,1)="4"</formula>
    </cfRule>
    <cfRule type="expression" priority="336" aboveAverage="0" equalAverage="0" bottom="0" percent="0" rank="0" text="" dxfId="6">
      <formula>LEFT(I46,1)="5"</formula>
    </cfRule>
  </conditionalFormatting>
  <conditionalFormatting sqref="F47">
    <cfRule type="expression" priority="337" aboveAverage="0" equalAverage="0" bottom="0" percent="0" rank="0" text="" dxfId="0">
      <formula>LEFT(F47,1)="1"</formula>
    </cfRule>
    <cfRule type="expression" priority="338" aboveAverage="0" equalAverage="0" bottom="0" percent="0" rank="0" text="" dxfId="3">
      <formula>LEFT(F47,1)="2"</formula>
    </cfRule>
    <cfRule type="expression" priority="339" aboveAverage="0" equalAverage="0" bottom="0" percent="0" rank="0" text="" dxfId="4">
      <formula>LEFT(F47,1)="3"</formula>
    </cfRule>
    <cfRule type="expression" priority="340" aboveAverage="0" equalAverage="0" bottom="0" percent="0" rank="0" text="" dxfId="5">
      <formula>LEFT(F47,1)="4"</formula>
    </cfRule>
    <cfRule type="expression" priority="341" aboveAverage="0" equalAverage="0" bottom="0" percent="0" rank="0" text="" dxfId="6">
      <formula>LEFT(F47,1)="5"</formula>
    </cfRule>
  </conditionalFormatting>
  <conditionalFormatting sqref="G47">
    <cfRule type="expression" priority="342" aboveAverage="0" equalAverage="0" bottom="0" percent="0" rank="0" text="" dxfId="0">
      <formula>LEFT(G47,1)="1"</formula>
    </cfRule>
    <cfRule type="expression" priority="343" aboveAverage="0" equalAverage="0" bottom="0" percent="0" rank="0" text="" dxfId="3">
      <formula>LEFT(G47,1)="2"</formula>
    </cfRule>
    <cfRule type="expression" priority="344" aboveAverage="0" equalAverage="0" bottom="0" percent="0" rank="0" text="" dxfId="4">
      <formula>LEFT(G47,1)="3"</formula>
    </cfRule>
    <cfRule type="expression" priority="345" aboveAverage="0" equalAverage="0" bottom="0" percent="0" rank="0" text="" dxfId="5">
      <formula>LEFT(G47,1)="4"</formula>
    </cfRule>
    <cfRule type="expression" priority="346" aboveAverage="0" equalAverage="0" bottom="0" percent="0" rank="0" text="" dxfId="6">
      <formula>LEFT(G47,1)="5"</formula>
    </cfRule>
  </conditionalFormatting>
  <conditionalFormatting sqref="H47">
    <cfRule type="expression" priority="347" aboveAverage="0" equalAverage="0" bottom="0" percent="0" rank="0" text="" dxfId="0">
      <formula>LEFT(H47,1)="1"</formula>
    </cfRule>
    <cfRule type="expression" priority="348" aboveAverage="0" equalAverage="0" bottom="0" percent="0" rank="0" text="" dxfId="3">
      <formula>LEFT(H47,1)="2"</formula>
    </cfRule>
    <cfRule type="expression" priority="349" aboveAverage="0" equalAverage="0" bottom="0" percent="0" rank="0" text="" dxfId="4">
      <formula>LEFT(H47,1)="3"</formula>
    </cfRule>
    <cfRule type="expression" priority="350" aboveAverage="0" equalAverage="0" bottom="0" percent="0" rank="0" text="" dxfId="5">
      <formula>LEFT(H47,1)="4"</formula>
    </cfRule>
    <cfRule type="expression" priority="351" aboveAverage="0" equalAverage="0" bottom="0" percent="0" rank="0" text="" dxfId="6">
      <formula>LEFT(H47,1)="5"</formula>
    </cfRule>
  </conditionalFormatting>
  <conditionalFormatting sqref="I47">
    <cfRule type="expression" priority="352" aboveAverage="0" equalAverage="0" bottom="0" percent="0" rank="0" text="" dxfId="0">
      <formula>LEFT(I47,1)="1"</formula>
    </cfRule>
    <cfRule type="expression" priority="353" aboveAverage="0" equalAverage="0" bottom="0" percent="0" rank="0" text="" dxfId="3">
      <formula>LEFT(I47,1)="2"</formula>
    </cfRule>
    <cfRule type="expression" priority="354" aboveAverage="0" equalAverage="0" bottom="0" percent="0" rank="0" text="" dxfId="4">
      <formula>LEFT(I47,1)="3"</formula>
    </cfRule>
    <cfRule type="expression" priority="355" aboveAverage="0" equalAverage="0" bottom="0" percent="0" rank="0" text="" dxfId="5">
      <formula>LEFT(I47,1)="4"</formula>
    </cfRule>
    <cfRule type="expression" priority="356" aboveAverage="0" equalAverage="0" bottom="0" percent="0" rank="0" text="" dxfId="6">
      <formula>LEFT(I47,1)="5"</formula>
    </cfRule>
  </conditionalFormatting>
  <conditionalFormatting sqref="F48">
    <cfRule type="expression" priority="357" aboveAverage="0" equalAverage="0" bottom="0" percent="0" rank="0" text="" dxfId="0">
      <formula>LEFT(F48,1)="1"</formula>
    </cfRule>
    <cfRule type="expression" priority="358" aboveAverage="0" equalAverage="0" bottom="0" percent="0" rank="0" text="" dxfId="3">
      <formula>LEFT(F48,1)="2"</formula>
    </cfRule>
    <cfRule type="expression" priority="359" aboveAverage="0" equalAverage="0" bottom="0" percent="0" rank="0" text="" dxfId="4">
      <formula>LEFT(F48,1)="3"</formula>
    </cfRule>
    <cfRule type="expression" priority="360" aboveAverage="0" equalAverage="0" bottom="0" percent="0" rank="0" text="" dxfId="5">
      <formula>LEFT(F48,1)="4"</formula>
    </cfRule>
    <cfRule type="expression" priority="361" aboveAverage="0" equalAverage="0" bottom="0" percent="0" rank="0" text="" dxfId="6">
      <formula>LEFT(F48,1)="5"</formula>
    </cfRule>
  </conditionalFormatting>
  <conditionalFormatting sqref="G48">
    <cfRule type="expression" priority="362" aboveAverage="0" equalAverage="0" bottom="0" percent="0" rank="0" text="" dxfId="0">
      <formula>LEFT(G48,1)="1"</formula>
    </cfRule>
    <cfRule type="expression" priority="363" aboveAverage="0" equalAverage="0" bottom="0" percent="0" rank="0" text="" dxfId="3">
      <formula>LEFT(G48,1)="2"</formula>
    </cfRule>
    <cfRule type="expression" priority="364" aboveAverage="0" equalAverage="0" bottom="0" percent="0" rank="0" text="" dxfId="4">
      <formula>LEFT(G48,1)="3"</formula>
    </cfRule>
    <cfRule type="expression" priority="365" aboveAverage="0" equalAverage="0" bottom="0" percent="0" rank="0" text="" dxfId="5">
      <formula>LEFT(G48,1)="4"</formula>
    </cfRule>
    <cfRule type="expression" priority="366" aboveAverage="0" equalAverage="0" bottom="0" percent="0" rank="0" text="" dxfId="6">
      <formula>LEFT(G48,1)="5"</formula>
    </cfRule>
  </conditionalFormatting>
  <conditionalFormatting sqref="H48">
    <cfRule type="expression" priority="367" aboveAverage="0" equalAverage="0" bottom="0" percent="0" rank="0" text="" dxfId="0">
      <formula>LEFT(H48,1)="1"</formula>
    </cfRule>
    <cfRule type="expression" priority="368" aboveAverage="0" equalAverage="0" bottom="0" percent="0" rank="0" text="" dxfId="3">
      <formula>LEFT(H48,1)="2"</formula>
    </cfRule>
    <cfRule type="expression" priority="369" aboveAverage="0" equalAverage="0" bottom="0" percent="0" rank="0" text="" dxfId="4">
      <formula>LEFT(H48,1)="3"</formula>
    </cfRule>
    <cfRule type="expression" priority="370" aboveAverage="0" equalAverage="0" bottom="0" percent="0" rank="0" text="" dxfId="5">
      <formula>LEFT(H48,1)="4"</formula>
    </cfRule>
    <cfRule type="expression" priority="371" aboveAverage="0" equalAverage="0" bottom="0" percent="0" rank="0" text="" dxfId="6">
      <formula>LEFT(H48,1)="5"</formula>
    </cfRule>
  </conditionalFormatting>
  <conditionalFormatting sqref="I48">
    <cfRule type="expression" priority="372" aboveAverage="0" equalAverage="0" bottom="0" percent="0" rank="0" text="" dxfId="0">
      <formula>LEFT(I48,1)="1"</formula>
    </cfRule>
    <cfRule type="expression" priority="373" aboveAverage="0" equalAverage="0" bottom="0" percent="0" rank="0" text="" dxfId="3">
      <formula>LEFT(I48,1)="2"</formula>
    </cfRule>
    <cfRule type="expression" priority="374" aboveAverage="0" equalAverage="0" bottom="0" percent="0" rank="0" text="" dxfId="4">
      <formula>LEFT(I48,1)="3"</formula>
    </cfRule>
    <cfRule type="expression" priority="375" aboveAverage="0" equalAverage="0" bottom="0" percent="0" rank="0" text="" dxfId="5">
      <formula>LEFT(I48,1)="4"</formula>
    </cfRule>
    <cfRule type="expression" priority="376" aboveAverage="0" equalAverage="0" bottom="0" percent="0" rank="0" text="" dxfId="6">
      <formula>LEFT(I48,1)="5"</formula>
    </cfRule>
  </conditionalFormatting>
  <conditionalFormatting sqref="F49">
    <cfRule type="expression" priority="377" aboveAverage="0" equalAverage="0" bottom="0" percent="0" rank="0" text="" dxfId="0">
      <formula>LEFT(F49,1)="1"</formula>
    </cfRule>
    <cfRule type="expression" priority="378" aboveAverage="0" equalAverage="0" bottom="0" percent="0" rank="0" text="" dxfId="3">
      <formula>LEFT(F49,1)="2"</formula>
    </cfRule>
    <cfRule type="expression" priority="379" aboveAverage="0" equalAverage="0" bottom="0" percent="0" rank="0" text="" dxfId="4">
      <formula>LEFT(F49,1)="3"</formula>
    </cfRule>
    <cfRule type="expression" priority="380" aboveAverage="0" equalAverage="0" bottom="0" percent="0" rank="0" text="" dxfId="5">
      <formula>LEFT(F49,1)="4"</formula>
    </cfRule>
    <cfRule type="expression" priority="381" aboveAverage="0" equalAverage="0" bottom="0" percent="0" rank="0" text="" dxfId="6">
      <formula>LEFT(F49,1)="5"</formula>
    </cfRule>
  </conditionalFormatting>
  <conditionalFormatting sqref="G49">
    <cfRule type="expression" priority="382" aboveAverage="0" equalAverage="0" bottom="0" percent="0" rank="0" text="" dxfId="0">
      <formula>LEFT(G49,1)="1"</formula>
    </cfRule>
    <cfRule type="expression" priority="383" aboveAverage="0" equalAverage="0" bottom="0" percent="0" rank="0" text="" dxfId="3">
      <formula>LEFT(G49,1)="2"</formula>
    </cfRule>
    <cfRule type="expression" priority="384" aboveAverage="0" equalAverage="0" bottom="0" percent="0" rank="0" text="" dxfId="4">
      <formula>LEFT(G49,1)="3"</formula>
    </cfRule>
    <cfRule type="expression" priority="385" aboveAverage="0" equalAverage="0" bottom="0" percent="0" rank="0" text="" dxfId="5">
      <formula>LEFT(G49,1)="4"</formula>
    </cfRule>
    <cfRule type="expression" priority="386" aboveAverage="0" equalAverage="0" bottom="0" percent="0" rank="0" text="" dxfId="6">
      <formula>LEFT(G49,1)="5"</formula>
    </cfRule>
  </conditionalFormatting>
  <conditionalFormatting sqref="H49">
    <cfRule type="expression" priority="387" aboveAverage="0" equalAverage="0" bottom="0" percent="0" rank="0" text="" dxfId="0">
      <formula>LEFT(H49,1)="1"</formula>
    </cfRule>
    <cfRule type="expression" priority="388" aboveAverage="0" equalAverage="0" bottom="0" percent="0" rank="0" text="" dxfId="3">
      <formula>LEFT(H49,1)="2"</formula>
    </cfRule>
    <cfRule type="expression" priority="389" aboveAverage="0" equalAverage="0" bottom="0" percent="0" rank="0" text="" dxfId="4">
      <formula>LEFT(H49,1)="3"</formula>
    </cfRule>
    <cfRule type="expression" priority="390" aboveAverage="0" equalAverage="0" bottom="0" percent="0" rank="0" text="" dxfId="5">
      <formula>LEFT(H49,1)="4"</formula>
    </cfRule>
    <cfRule type="expression" priority="391" aboveAverage="0" equalAverage="0" bottom="0" percent="0" rank="0" text="" dxfId="6">
      <formula>LEFT(H49,1)="5"</formula>
    </cfRule>
  </conditionalFormatting>
  <conditionalFormatting sqref="I49">
    <cfRule type="expression" priority="392" aboveAverage="0" equalAverage="0" bottom="0" percent="0" rank="0" text="" dxfId="0">
      <formula>LEFT(I49,1)="1"</formula>
    </cfRule>
    <cfRule type="expression" priority="393" aboveAverage="0" equalAverage="0" bottom="0" percent="0" rank="0" text="" dxfId="3">
      <formula>LEFT(I49,1)="2"</formula>
    </cfRule>
    <cfRule type="expression" priority="394" aboveAverage="0" equalAverage="0" bottom="0" percent="0" rank="0" text="" dxfId="4">
      <formula>LEFT(I49,1)="3"</formula>
    </cfRule>
    <cfRule type="expression" priority="395" aboveAverage="0" equalAverage="0" bottom="0" percent="0" rank="0" text="" dxfId="5">
      <formula>LEFT(I49,1)="4"</formula>
    </cfRule>
    <cfRule type="expression" priority="396" aboveAverage="0" equalAverage="0" bottom="0" percent="0" rank="0" text="" dxfId="6">
      <formula>LEFT(I49,1)="5"</formula>
    </cfRule>
  </conditionalFormatting>
  <conditionalFormatting sqref="F50">
    <cfRule type="expression" priority="397" aboveAverage="0" equalAverage="0" bottom="0" percent="0" rank="0" text="" dxfId="0">
      <formula>LEFT(F50,1)="1"</formula>
    </cfRule>
    <cfRule type="expression" priority="398" aboveAverage="0" equalAverage="0" bottom="0" percent="0" rank="0" text="" dxfId="3">
      <formula>LEFT(F50,1)="2"</formula>
    </cfRule>
    <cfRule type="expression" priority="399" aboveAverage="0" equalAverage="0" bottom="0" percent="0" rank="0" text="" dxfId="4">
      <formula>LEFT(F50,1)="3"</formula>
    </cfRule>
    <cfRule type="expression" priority="400" aboveAverage="0" equalAverage="0" bottom="0" percent="0" rank="0" text="" dxfId="5">
      <formula>LEFT(F50,1)="4"</formula>
    </cfRule>
    <cfRule type="expression" priority="401" aboveAverage="0" equalAverage="0" bottom="0" percent="0" rank="0" text="" dxfId="6">
      <formula>LEFT(F50,1)="5"</formula>
    </cfRule>
  </conditionalFormatting>
  <conditionalFormatting sqref="G50">
    <cfRule type="expression" priority="402" aboveAverage="0" equalAverage="0" bottom="0" percent="0" rank="0" text="" dxfId="0">
      <formula>LEFT(G50,1)="1"</formula>
    </cfRule>
    <cfRule type="expression" priority="403" aboveAverage="0" equalAverage="0" bottom="0" percent="0" rank="0" text="" dxfId="3">
      <formula>LEFT(G50,1)="2"</formula>
    </cfRule>
    <cfRule type="expression" priority="404" aboveAverage="0" equalAverage="0" bottom="0" percent="0" rank="0" text="" dxfId="4">
      <formula>LEFT(G50,1)="3"</formula>
    </cfRule>
    <cfRule type="expression" priority="405" aboveAverage="0" equalAverage="0" bottom="0" percent="0" rank="0" text="" dxfId="5">
      <formula>LEFT(G50,1)="4"</formula>
    </cfRule>
    <cfRule type="expression" priority="406" aboveAverage="0" equalAverage="0" bottom="0" percent="0" rank="0" text="" dxfId="6">
      <formula>LEFT(G50,1)="5"</formula>
    </cfRule>
  </conditionalFormatting>
  <conditionalFormatting sqref="H50">
    <cfRule type="expression" priority="407" aboveAverage="0" equalAverage="0" bottom="0" percent="0" rank="0" text="" dxfId="0">
      <formula>LEFT(H50,1)="1"</formula>
    </cfRule>
    <cfRule type="expression" priority="408" aboveAverage="0" equalAverage="0" bottom="0" percent="0" rank="0" text="" dxfId="3">
      <formula>LEFT(H50,1)="2"</formula>
    </cfRule>
    <cfRule type="expression" priority="409" aboveAverage="0" equalAverage="0" bottom="0" percent="0" rank="0" text="" dxfId="4">
      <formula>LEFT(H50,1)="3"</formula>
    </cfRule>
    <cfRule type="expression" priority="410" aboveAverage="0" equalAverage="0" bottom="0" percent="0" rank="0" text="" dxfId="5">
      <formula>LEFT(H50,1)="4"</formula>
    </cfRule>
    <cfRule type="expression" priority="411" aboveAverage="0" equalAverage="0" bottom="0" percent="0" rank="0" text="" dxfId="6">
      <formula>LEFT(H50,1)="5"</formula>
    </cfRule>
  </conditionalFormatting>
  <conditionalFormatting sqref="I50">
    <cfRule type="expression" priority="412" aboveAverage="0" equalAverage="0" bottom="0" percent="0" rank="0" text="" dxfId="0">
      <formula>LEFT(I50,1)="1"</formula>
    </cfRule>
    <cfRule type="expression" priority="413" aboveAverage="0" equalAverage="0" bottom="0" percent="0" rank="0" text="" dxfId="3">
      <formula>LEFT(I50,1)="2"</formula>
    </cfRule>
    <cfRule type="expression" priority="414" aboveAverage="0" equalAverage="0" bottom="0" percent="0" rank="0" text="" dxfId="4">
      <formula>LEFT(I50,1)="3"</formula>
    </cfRule>
    <cfRule type="expression" priority="415" aboveAverage="0" equalAverage="0" bottom="0" percent="0" rank="0" text="" dxfId="5">
      <formula>LEFT(I50,1)="4"</formula>
    </cfRule>
    <cfRule type="expression" priority="416" aboveAverage="0" equalAverage="0" bottom="0" percent="0" rank="0" text="" dxfId="6">
      <formula>LEFT(I50,1)="5"</formula>
    </cfRule>
  </conditionalFormatting>
  <conditionalFormatting sqref="F51">
    <cfRule type="expression" priority="417" aboveAverage="0" equalAverage="0" bottom="0" percent="0" rank="0" text="" dxfId="0">
      <formula>LEFT(F51,1)="1"</formula>
    </cfRule>
    <cfRule type="expression" priority="418" aboveAverage="0" equalAverage="0" bottom="0" percent="0" rank="0" text="" dxfId="3">
      <formula>LEFT(F51,1)="2"</formula>
    </cfRule>
    <cfRule type="expression" priority="419" aboveAverage="0" equalAverage="0" bottom="0" percent="0" rank="0" text="" dxfId="4">
      <formula>LEFT(F51,1)="3"</formula>
    </cfRule>
    <cfRule type="expression" priority="420" aboveAverage="0" equalAverage="0" bottom="0" percent="0" rank="0" text="" dxfId="5">
      <formula>LEFT(F51,1)="4"</formula>
    </cfRule>
    <cfRule type="expression" priority="421" aboveAverage="0" equalAverage="0" bottom="0" percent="0" rank="0" text="" dxfId="6">
      <formula>LEFT(F51,1)="5"</formula>
    </cfRule>
  </conditionalFormatting>
  <conditionalFormatting sqref="G51">
    <cfRule type="expression" priority="422" aboveAverage="0" equalAverage="0" bottom="0" percent="0" rank="0" text="" dxfId="0">
      <formula>LEFT(G51,1)="1"</formula>
    </cfRule>
    <cfRule type="expression" priority="423" aboveAverage="0" equalAverage="0" bottom="0" percent="0" rank="0" text="" dxfId="3">
      <formula>LEFT(G51,1)="2"</formula>
    </cfRule>
    <cfRule type="expression" priority="424" aboveAverage="0" equalAverage="0" bottom="0" percent="0" rank="0" text="" dxfId="4">
      <formula>LEFT(G51,1)="3"</formula>
    </cfRule>
    <cfRule type="expression" priority="425" aboveAverage="0" equalAverage="0" bottom="0" percent="0" rank="0" text="" dxfId="5">
      <formula>LEFT(G51,1)="4"</formula>
    </cfRule>
    <cfRule type="expression" priority="426" aboveAverage="0" equalAverage="0" bottom="0" percent="0" rank="0" text="" dxfId="6">
      <formula>LEFT(G51,1)="5"</formula>
    </cfRule>
  </conditionalFormatting>
  <conditionalFormatting sqref="H51">
    <cfRule type="expression" priority="427" aboveAverage="0" equalAverage="0" bottom="0" percent="0" rank="0" text="" dxfId="0">
      <formula>LEFT(H51,1)="1"</formula>
    </cfRule>
    <cfRule type="expression" priority="428" aboveAverage="0" equalAverage="0" bottom="0" percent="0" rank="0" text="" dxfId="3">
      <formula>LEFT(H51,1)="2"</formula>
    </cfRule>
    <cfRule type="expression" priority="429" aboveAverage="0" equalAverage="0" bottom="0" percent="0" rank="0" text="" dxfId="4">
      <formula>LEFT(H51,1)="3"</formula>
    </cfRule>
    <cfRule type="expression" priority="430" aboveAverage="0" equalAverage="0" bottom="0" percent="0" rank="0" text="" dxfId="5">
      <formula>LEFT(H51,1)="4"</formula>
    </cfRule>
    <cfRule type="expression" priority="431" aboveAverage="0" equalAverage="0" bottom="0" percent="0" rank="0" text="" dxfId="6">
      <formula>LEFT(H51,1)="5"</formula>
    </cfRule>
  </conditionalFormatting>
  <conditionalFormatting sqref="I51">
    <cfRule type="expression" priority="432" aboveAverage="0" equalAverage="0" bottom="0" percent="0" rank="0" text="" dxfId="0">
      <formula>LEFT(I51,1)="1"</formula>
    </cfRule>
    <cfRule type="expression" priority="433" aboveAverage="0" equalAverage="0" bottom="0" percent="0" rank="0" text="" dxfId="3">
      <formula>LEFT(I51,1)="2"</formula>
    </cfRule>
    <cfRule type="expression" priority="434" aboveAverage="0" equalAverage="0" bottom="0" percent="0" rank="0" text="" dxfId="4">
      <formula>LEFT(I51,1)="3"</formula>
    </cfRule>
    <cfRule type="expression" priority="435" aboveAverage="0" equalAverage="0" bottom="0" percent="0" rank="0" text="" dxfId="5">
      <formula>LEFT(I51,1)="4"</formula>
    </cfRule>
    <cfRule type="expression" priority="436" aboveAverage="0" equalAverage="0" bottom="0" percent="0" rank="0" text="" dxfId="6">
      <formula>LEFT(I51,1)="5"</formula>
    </cfRule>
  </conditionalFormatting>
  <conditionalFormatting sqref="F52">
    <cfRule type="expression" priority="437" aboveAverage="0" equalAverage="0" bottom="0" percent="0" rank="0" text="" dxfId="0">
      <formula>LEFT(F52,1)="1"</formula>
    </cfRule>
    <cfRule type="expression" priority="438" aboveAverage="0" equalAverage="0" bottom="0" percent="0" rank="0" text="" dxfId="3">
      <formula>LEFT(F52,1)="2"</formula>
    </cfRule>
    <cfRule type="expression" priority="439" aboveAverage="0" equalAverage="0" bottom="0" percent="0" rank="0" text="" dxfId="4">
      <formula>LEFT(F52,1)="3"</formula>
    </cfRule>
    <cfRule type="expression" priority="440" aboveAverage="0" equalAverage="0" bottom="0" percent="0" rank="0" text="" dxfId="5">
      <formula>LEFT(F52,1)="4"</formula>
    </cfRule>
    <cfRule type="expression" priority="441" aboveAverage="0" equalAverage="0" bottom="0" percent="0" rank="0" text="" dxfId="6">
      <formula>LEFT(F52,1)="5"</formula>
    </cfRule>
  </conditionalFormatting>
  <conditionalFormatting sqref="G52">
    <cfRule type="expression" priority="442" aboveAverage="0" equalAverage="0" bottom="0" percent="0" rank="0" text="" dxfId="0">
      <formula>LEFT(G52,1)="1"</formula>
    </cfRule>
    <cfRule type="expression" priority="443" aboveAverage="0" equalAverage="0" bottom="0" percent="0" rank="0" text="" dxfId="3">
      <formula>LEFT(G52,1)="2"</formula>
    </cfRule>
    <cfRule type="expression" priority="444" aboveAverage="0" equalAverage="0" bottom="0" percent="0" rank="0" text="" dxfId="4">
      <formula>LEFT(G52,1)="3"</formula>
    </cfRule>
    <cfRule type="expression" priority="445" aboveAverage="0" equalAverage="0" bottom="0" percent="0" rank="0" text="" dxfId="5">
      <formula>LEFT(G52,1)="4"</formula>
    </cfRule>
    <cfRule type="expression" priority="446" aboveAverage="0" equalAverage="0" bottom="0" percent="0" rank="0" text="" dxfId="6">
      <formula>LEFT(G52,1)="5"</formula>
    </cfRule>
  </conditionalFormatting>
  <conditionalFormatting sqref="H52">
    <cfRule type="expression" priority="447" aboveAverage="0" equalAverage="0" bottom="0" percent="0" rank="0" text="" dxfId="0">
      <formula>LEFT(H52,1)="1"</formula>
    </cfRule>
    <cfRule type="expression" priority="448" aboveAverage="0" equalAverage="0" bottom="0" percent="0" rank="0" text="" dxfId="3">
      <formula>LEFT(H52,1)="2"</formula>
    </cfRule>
    <cfRule type="expression" priority="449" aboveAverage="0" equalAverage="0" bottom="0" percent="0" rank="0" text="" dxfId="4">
      <formula>LEFT(H52,1)="3"</formula>
    </cfRule>
    <cfRule type="expression" priority="450" aboveAverage="0" equalAverage="0" bottom="0" percent="0" rank="0" text="" dxfId="5">
      <formula>LEFT(H52,1)="4"</formula>
    </cfRule>
    <cfRule type="expression" priority="451" aboveAverage="0" equalAverage="0" bottom="0" percent="0" rank="0" text="" dxfId="6">
      <formula>LEFT(H52,1)="5"</formula>
    </cfRule>
  </conditionalFormatting>
  <conditionalFormatting sqref="I52">
    <cfRule type="expression" priority="452" aboveAverage="0" equalAverage="0" bottom="0" percent="0" rank="0" text="" dxfId="0">
      <formula>LEFT(I52,1)="1"</formula>
    </cfRule>
    <cfRule type="expression" priority="453" aboveAverage="0" equalAverage="0" bottom="0" percent="0" rank="0" text="" dxfId="3">
      <formula>LEFT(I52,1)="2"</formula>
    </cfRule>
    <cfRule type="expression" priority="454" aboveAverage="0" equalAverage="0" bottom="0" percent="0" rank="0" text="" dxfId="4">
      <formula>LEFT(I52,1)="3"</formula>
    </cfRule>
    <cfRule type="expression" priority="455" aboveAverage="0" equalAverage="0" bottom="0" percent="0" rank="0" text="" dxfId="5">
      <formula>LEFT(I52,1)="4"</formula>
    </cfRule>
    <cfRule type="expression" priority="456" aboveAverage="0" equalAverage="0" bottom="0" percent="0" rank="0" text="" dxfId="6">
      <formula>LEFT(I52,1)="5"</formula>
    </cfRule>
  </conditionalFormatting>
  <dataValidations count="91">
    <dataValidation allowBlank="true" error="Pick one of the 5 maturity levels" errorStyle="stop" operator="between" showDropDown="false" showErrorMessage="false" showInputMessage="false" sqref="F10" type="list">
      <formula1>_rubric!$A$1:$A$5</formula1>
      <formula2>0</formula2>
    </dataValidation>
    <dataValidation allowBlank="true" error="Pick one of the 5 maturity levels" errorStyle="stop" operator="between" showDropDown="false" showErrorMessage="false" showInputMessage="false" sqref="F11" type="list">
      <formula1>_rubric!$A$6:$A$10</formula1>
      <formula2>0</formula2>
    </dataValidation>
    <dataValidation allowBlank="true" error="Pick one of the 5 maturity levels" errorStyle="stop" operator="between" showDropDown="false" showErrorMessage="false" showInputMessage="false" sqref="F12" type="list">
      <formula1>_rubric!$A$11:$A$15</formula1>
      <formula2>0</formula2>
    </dataValidation>
    <dataValidation allowBlank="true" error="Pick one of the 5 maturity levels" errorStyle="stop" operator="between" showDropDown="false" showErrorMessage="false" showInputMessage="false" sqref="F13" type="list">
      <formula1>_rubric!$A$16:$A$20</formula1>
      <formula2>0</formula2>
    </dataValidation>
    <dataValidation allowBlank="true" error="Pick one of the 5 maturity levels" errorStyle="stop" operator="between" showDropDown="false" showErrorMessage="false" showInputMessage="false" sqref="F14" type="list">
      <formula1>_rubric!$A$21:$A$25</formula1>
      <formula2>0</formula2>
    </dataValidation>
    <dataValidation allowBlank="true" error="Pick one of the 5 maturity levels" errorStyle="stop" operator="between" showDropDown="false" showErrorMessage="false" showInputMessage="false" sqref="F15" type="list">
      <formula1>_rubric!$A$26:$A$30</formula1>
      <formula2>0</formula2>
    </dataValidation>
    <dataValidation allowBlank="true" error="Pick one of the 5 maturity levels" errorStyle="stop" operator="between" showDropDown="false" showErrorMessage="false" showInputMessage="false" sqref="F16" type="list">
      <formula1>_rubric!$A$31:$A$35</formula1>
      <formula2>0</formula2>
    </dataValidation>
    <dataValidation allowBlank="true" error="Pick one of the 5 maturity levels" errorStyle="stop" operator="between" showDropDown="false" showErrorMessage="false" showInputMessage="false" sqref="F22" type="list">
      <formula1>_rubric!$A$36:$A$40</formula1>
      <formula2>0</formula2>
    </dataValidation>
    <dataValidation allowBlank="true" error="Pick one of the 5 maturity levels" errorStyle="stop" operator="between" showDropDown="false" showErrorMessage="false" showInputMessage="false" sqref="G22" type="list">
      <formula1>_rubric!$A$41:$A$45</formula1>
      <formula2>0</formula2>
    </dataValidation>
    <dataValidation allowBlank="true" error="Pick one of the 5 maturity levels" errorStyle="stop" operator="between" showDropDown="false" showErrorMessage="false" showInputMessage="false" sqref="H22" type="list">
      <formula1>_rubric!$A$46:$A$50</formula1>
      <formula2>0</formula2>
    </dataValidation>
    <dataValidation allowBlank="true" error="Pick one of the 5 maturity levels" errorStyle="stop" operator="between" showDropDown="false" showErrorMessage="false" showInputMessage="false" sqref="I22" type="list">
      <formula1>_rubric!$A$51:$A$55</formula1>
      <formula2>0</formula2>
    </dataValidation>
    <dataValidation allowBlank="true" error="Pick one of the 5 maturity levels" errorStyle="stop" operator="between" showDropDown="false" showErrorMessage="false" showInputMessage="false" sqref="F23" type="list">
      <formula1>_rubric!$A$56:$A$60</formula1>
      <formula2>0</formula2>
    </dataValidation>
    <dataValidation allowBlank="true" error="Pick one of the 5 maturity levels" errorStyle="stop" operator="between" showDropDown="false" showErrorMessage="false" showInputMessage="false" sqref="G23" type="list">
      <formula1>_rubric!$A$61:$A$65</formula1>
      <formula2>0</formula2>
    </dataValidation>
    <dataValidation allowBlank="true" error="Pick one of the 5 maturity levels" errorStyle="stop" operator="between" showDropDown="false" showErrorMessage="false" showInputMessage="false" sqref="H23" type="list">
      <formula1>_rubric!$A$66:$A$70</formula1>
      <formula2>0</formula2>
    </dataValidation>
    <dataValidation allowBlank="true" error="Pick one of the 5 maturity levels" errorStyle="stop" operator="between" showDropDown="false" showErrorMessage="false" showInputMessage="false" sqref="I23" type="list">
      <formula1>_rubric!$A$71:$A$75</formula1>
      <formula2>0</formula2>
    </dataValidation>
    <dataValidation allowBlank="true" error="Pick one of the 5 maturity levels" errorStyle="stop" operator="between" showDropDown="false" showErrorMessage="false" showInputMessage="false" sqref="F24" type="list">
      <formula1>_rubric!$A$76:$A$80</formula1>
      <formula2>0</formula2>
    </dataValidation>
    <dataValidation allowBlank="true" error="Pick one of the 5 maturity levels" errorStyle="stop" operator="between" showDropDown="false" showErrorMessage="false" showInputMessage="false" sqref="G24" type="list">
      <formula1>_rubric!$A$81:$A$85</formula1>
      <formula2>0</formula2>
    </dataValidation>
    <dataValidation allowBlank="true" error="Pick one of the 5 maturity levels" errorStyle="stop" operator="between" showDropDown="false" showErrorMessage="false" showInputMessage="false" sqref="H24" type="list">
      <formula1>_rubric!$A$86:$A$90</formula1>
      <formula2>0</formula2>
    </dataValidation>
    <dataValidation allowBlank="true" error="Pick one of the 5 maturity levels" errorStyle="stop" operator="between" showDropDown="false" showErrorMessage="false" showInputMessage="false" sqref="I24" type="list">
      <formula1>_rubric!$A$91:$A$95</formula1>
      <formula2>0</formula2>
    </dataValidation>
    <dataValidation allowBlank="true" error="Pick one of the 5 maturity levels" errorStyle="stop" operator="between" showDropDown="false" showErrorMessage="false" showInputMessage="false" sqref="F25" type="list">
      <formula1>_rubric!$A$96:$A$100</formula1>
      <formula2>0</formula2>
    </dataValidation>
    <dataValidation allowBlank="true" error="Pick one of the 5 maturity levels" errorStyle="stop" operator="between" showDropDown="false" showErrorMessage="false" showInputMessage="false" sqref="G25" type="list">
      <formula1>_rubric!$A$101:$A$105</formula1>
      <formula2>0</formula2>
    </dataValidation>
    <dataValidation allowBlank="true" error="Pick one of the 5 maturity levels" errorStyle="stop" operator="between" showDropDown="false" showErrorMessage="false" showInputMessage="false" sqref="H25" type="list">
      <formula1>_rubric!$A$106:$A$110</formula1>
      <formula2>0</formula2>
    </dataValidation>
    <dataValidation allowBlank="true" error="Pick one of the 5 maturity levels" errorStyle="stop" operator="between" showDropDown="false" showErrorMessage="false" showInputMessage="false" sqref="I25" type="list">
      <formula1>_rubric!$A$111:$A$115</formula1>
      <formula2>0</formula2>
    </dataValidation>
    <dataValidation allowBlank="true" error="Pick one of the 5 maturity levels" errorStyle="stop" operator="between" showDropDown="false" showErrorMessage="false" showInputMessage="false" sqref="F26" type="list">
      <formula1>_rubric!$A$116:$A$120</formula1>
      <formula2>0</formula2>
    </dataValidation>
    <dataValidation allowBlank="true" error="Pick one of the 5 maturity levels" errorStyle="stop" operator="between" showDropDown="false" showErrorMessage="false" showInputMessage="false" sqref="G26" type="list">
      <formula1>_rubric!$A$121:$A$125</formula1>
      <formula2>0</formula2>
    </dataValidation>
    <dataValidation allowBlank="true" error="Pick one of the 5 maturity levels" errorStyle="stop" operator="between" showDropDown="false" showErrorMessage="false" showInputMessage="false" sqref="H26" type="list">
      <formula1>_rubric!$A$126:$A$130</formula1>
      <formula2>0</formula2>
    </dataValidation>
    <dataValidation allowBlank="true" error="Pick one of the 5 maturity levels" errorStyle="stop" operator="between" showDropDown="false" showErrorMessage="false" showInputMessage="false" sqref="I26" type="list">
      <formula1>_rubric!$A$131:$A$135</formula1>
      <formula2>0</formula2>
    </dataValidation>
    <dataValidation allowBlank="true" error="Pick one of the 5 maturity levels" errorStyle="stop" operator="between" showDropDown="false" showErrorMessage="false" showInputMessage="false" sqref="F27" type="list">
      <formula1>_rubric!$A$136:$A$140</formula1>
      <formula2>0</formula2>
    </dataValidation>
    <dataValidation allowBlank="true" error="Pick one of the 5 maturity levels" errorStyle="stop" operator="between" showDropDown="false" showErrorMessage="false" showInputMessage="false" sqref="G27" type="list">
      <formula1>_rubric!$A$141:$A$145</formula1>
      <formula2>0</formula2>
    </dataValidation>
    <dataValidation allowBlank="true" error="Pick one of the 5 maturity levels" errorStyle="stop" operator="between" showDropDown="false" showErrorMessage="false" showInputMessage="false" sqref="H27" type="list">
      <formula1>_rubric!$A$146:$A$150</formula1>
      <formula2>0</formula2>
    </dataValidation>
    <dataValidation allowBlank="true" error="Pick one of the 5 maturity levels" errorStyle="stop" operator="between" showDropDown="false" showErrorMessage="false" showInputMessage="false" sqref="I27" type="list">
      <formula1>_rubric!$A$151:$A$155</formula1>
      <formula2>0</formula2>
    </dataValidation>
    <dataValidation allowBlank="true" error="Pick one of the 5 maturity levels" errorStyle="stop" operator="between" showDropDown="false" showErrorMessage="false" showInputMessage="false" sqref="F28" type="list">
      <formula1>_rubric!$A$156:$A$160</formula1>
      <formula2>0</formula2>
    </dataValidation>
    <dataValidation allowBlank="true" error="Pick one of the 5 maturity levels" errorStyle="stop" operator="between" showDropDown="false" showErrorMessage="false" showInputMessage="false" sqref="G28" type="list">
      <formula1>_rubric!$A$161:$A$165</formula1>
      <formula2>0</formula2>
    </dataValidation>
    <dataValidation allowBlank="true" error="Pick one of the 5 maturity levels" errorStyle="stop" operator="between" showDropDown="false" showErrorMessage="false" showInputMessage="false" sqref="H28" type="list">
      <formula1>_rubric!$A$166:$A$170</formula1>
      <formula2>0</formula2>
    </dataValidation>
    <dataValidation allowBlank="true" error="Pick one of the 5 maturity levels" errorStyle="stop" operator="between" showDropDown="false" showErrorMessage="false" showInputMessage="false" sqref="I28" type="list">
      <formula1>_rubric!$A$171:$A$175</formula1>
      <formula2>0</formula2>
    </dataValidation>
    <dataValidation allowBlank="true" error="Pick one of the 5 maturity levels" errorStyle="stop" operator="between" showDropDown="false" showErrorMessage="false" showInputMessage="false" sqref="F34" type="list">
      <formula1>_rubric!$A$176:$A$180</formula1>
      <formula2>0</formula2>
    </dataValidation>
    <dataValidation allowBlank="true" error="Pick one of the 5 maturity levels" errorStyle="stop" operator="between" showDropDown="false" showErrorMessage="false" showInputMessage="false" sqref="G34" type="list">
      <formula1>_rubric!$A$181:$A$185</formula1>
      <formula2>0</formula2>
    </dataValidation>
    <dataValidation allowBlank="true" error="Pick one of the 5 maturity levels" errorStyle="stop" operator="between" showDropDown="false" showErrorMessage="false" showInputMessage="false" sqref="H34" type="list">
      <formula1>_rubric!$A$186:$A$190</formula1>
      <formula2>0</formula2>
    </dataValidation>
    <dataValidation allowBlank="true" error="Pick one of the 5 maturity levels" errorStyle="stop" operator="between" showDropDown="false" showErrorMessage="false" showInputMessage="false" sqref="I34" type="list">
      <formula1>_rubric!$A$191:$A$195</formula1>
      <formula2>0</formula2>
    </dataValidation>
    <dataValidation allowBlank="true" error="Pick one of the 5 maturity levels" errorStyle="stop" operator="between" showDropDown="false" showErrorMessage="false" showInputMessage="false" sqref="F35" type="list">
      <formula1>_rubric!$A$196:$A$200</formula1>
      <formula2>0</formula2>
    </dataValidation>
    <dataValidation allowBlank="true" error="Pick one of the 5 maturity levels" errorStyle="stop" operator="between" showDropDown="false" showErrorMessage="false" showInputMessage="false" sqref="G35" type="list">
      <formula1>_rubric!$A$201:$A$205</formula1>
      <formula2>0</formula2>
    </dataValidation>
    <dataValidation allowBlank="true" error="Pick one of the 5 maturity levels" errorStyle="stop" operator="between" showDropDown="false" showErrorMessage="false" showInputMessage="false" sqref="H35" type="list">
      <formula1>_rubric!$A$206:$A$210</formula1>
      <formula2>0</formula2>
    </dataValidation>
    <dataValidation allowBlank="true" error="Pick one of the 5 maturity levels" errorStyle="stop" operator="between" showDropDown="false" showErrorMessage="false" showInputMessage="false" sqref="I35" type="list">
      <formula1>_rubric!$A$211:$A$215</formula1>
      <formula2>0</formula2>
    </dataValidation>
    <dataValidation allowBlank="true" error="Pick one of the 5 maturity levels" errorStyle="stop" operator="between" showDropDown="false" showErrorMessage="false" showInputMessage="false" sqref="F36" type="list">
      <formula1>_rubric!$A$216:$A$220</formula1>
      <formula2>0</formula2>
    </dataValidation>
    <dataValidation allowBlank="true" error="Pick one of the 5 maturity levels" errorStyle="stop" operator="between" showDropDown="false" showErrorMessage="false" showInputMessage="false" sqref="G36" type="list">
      <formula1>_rubric!$A$221:$A$225</formula1>
      <formula2>0</formula2>
    </dataValidation>
    <dataValidation allowBlank="true" error="Pick one of the 5 maturity levels" errorStyle="stop" operator="between" showDropDown="false" showErrorMessage="false" showInputMessage="false" sqref="H36" type="list">
      <formula1>_rubric!$A$226:$A$230</formula1>
      <formula2>0</formula2>
    </dataValidation>
    <dataValidation allowBlank="true" error="Pick one of the 5 maturity levels" errorStyle="stop" operator="between" showDropDown="false" showErrorMessage="false" showInputMessage="false" sqref="I36" type="list">
      <formula1>_rubric!$A$231:$A$235</formula1>
      <formula2>0</formula2>
    </dataValidation>
    <dataValidation allowBlank="true" error="Pick one of the 5 maturity levels" errorStyle="stop" operator="between" showDropDown="false" showErrorMessage="false" showInputMessage="false" sqref="F37" type="list">
      <formula1>_rubric!$A$236:$A$240</formula1>
      <formula2>0</formula2>
    </dataValidation>
    <dataValidation allowBlank="true" error="Pick one of the 5 maturity levels" errorStyle="stop" operator="between" showDropDown="false" showErrorMessage="false" showInputMessage="false" sqref="G37" type="list">
      <formula1>_rubric!$A$241:$A$245</formula1>
      <formula2>0</formula2>
    </dataValidation>
    <dataValidation allowBlank="true" error="Pick one of the 5 maturity levels" errorStyle="stop" operator="between" showDropDown="false" showErrorMessage="false" showInputMessage="false" sqref="H37" type="list">
      <formula1>_rubric!$A$246:$A$250</formula1>
      <formula2>0</formula2>
    </dataValidation>
    <dataValidation allowBlank="true" error="Pick one of the 5 maturity levels" errorStyle="stop" operator="between" showDropDown="false" showErrorMessage="false" showInputMessage="false" sqref="I37" type="list">
      <formula1>_rubric!$A$251:$A$255</formula1>
      <formula2>0</formula2>
    </dataValidation>
    <dataValidation allowBlank="true" error="Pick one of the 5 maturity levels" errorStyle="stop" operator="between" showDropDown="false" showErrorMessage="false" showInputMessage="false" sqref="F38" type="list">
      <formula1>_rubric!$A$256:$A$260</formula1>
      <formula2>0</formula2>
    </dataValidation>
    <dataValidation allowBlank="true" error="Pick one of the 5 maturity levels" errorStyle="stop" operator="between" showDropDown="false" showErrorMessage="false" showInputMessage="false" sqref="G38" type="list">
      <formula1>_rubric!$A$261:$A$265</formula1>
      <formula2>0</formula2>
    </dataValidation>
    <dataValidation allowBlank="true" error="Pick one of the 5 maturity levels" errorStyle="stop" operator="between" showDropDown="false" showErrorMessage="false" showInputMessage="false" sqref="H38" type="list">
      <formula1>_rubric!$A$266:$A$270</formula1>
      <formula2>0</formula2>
    </dataValidation>
    <dataValidation allowBlank="true" error="Pick one of the 5 maturity levels" errorStyle="stop" operator="between" showDropDown="false" showErrorMessage="false" showInputMessage="false" sqref="I38" type="list">
      <formula1>_rubric!$A$271:$A$275</formula1>
      <formula2>0</formula2>
    </dataValidation>
    <dataValidation allowBlank="true" error="Pick one of the 5 maturity levels" errorStyle="stop" operator="between" showDropDown="false" showErrorMessage="false" showInputMessage="false" sqref="F39" type="list">
      <formula1>_rubric!$A$276:$A$280</formula1>
      <formula2>0</formula2>
    </dataValidation>
    <dataValidation allowBlank="true" error="Pick one of the 5 maturity levels" errorStyle="stop" operator="between" showDropDown="false" showErrorMessage="false" showInputMessage="false" sqref="G39" type="list">
      <formula1>_rubric!$A$281:$A$285</formula1>
      <formula2>0</formula2>
    </dataValidation>
    <dataValidation allowBlank="true" error="Pick one of the 5 maturity levels" errorStyle="stop" operator="between" showDropDown="false" showErrorMessage="false" showInputMessage="false" sqref="H39" type="list">
      <formula1>_rubric!$A$286:$A$290</formula1>
      <formula2>0</formula2>
    </dataValidation>
    <dataValidation allowBlank="true" error="Pick one of the 5 maturity levels" errorStyle="stop" operator="between" showDropDown="false" showErrorMessage="false" showInputMessage="false" sqref="I39" type="list">
      <formula1>_rubric!$A$291:$A$295</formula1>
      <formula2>0</formula2>
    </dataValidation>
    <dataValidation allowBlank="true" error="Pick one of the 5 maturity levels" errorStyle="stop" operator="between" showDropDown="false" showErrorMessage="false" showInputMessage="false" sqref="F40" type="list">
      <formula1>_rubric!$A$296:$A$300</formula1>
      <formula2>0</formula2>
    </dataValidation>
    <dataValidation allowBlank="true" error="Pick one of the 5 maturity levels" errorStyle="stop" operator="between" showDropDown="false" showErrorMessage="false" showInputMessage="false" sqref="G40" type="list">
      <formula1>_rubric!$A$301:$A$305</formula1>
      <formula2>0</formula2>
    </dataValidation>
    <dataValidation allowBlank="true" error="Pick one of the 5 maturity levels" errorStyle="stop" operator="between" showDropDown="false" showErrorMessage="false" showInputMessage="false" sqref="H40" type="list">
      <formula1>_rubric!$A$306:$A$310</formula1>
      <formula2>0</formula2>
    </dataValidation>
    <dataValidation allowBlank="true" error="Pick one of the 5 maturity levels" errorStyle="stop" operator="between" showDropDown="false" showErrorMessage="false" showInputMessage="false" sqref="I40" type="list">
      <formula1>_rubric!$A$311:$A$315</formula1>
      <formula2>0</formula2>
    </dataValidation>
    <dataValidation allowBlank="true" error="Pick one of the 5 maturity levels" errorStyle="stop" operator="between" showDropDown="false" showErrorMessage="false" showInputMessage="false" sqref="F46" type="list">
      <formula1>_rubric!$A$316:$A$320</formula1>
      <formula2>0</formula2>
    </dataValidation>
    <dataValidation allowBlank="true" error="Pick one of the 5 maturity levels" errorStyle="stop" operator="between" showDropDown="false" showErrorMessage="false" showInputMessage="false" sqref="G46" type="list">
      <formula1>_rubric!$A$321:$A$325</formula1>
      <formula2>0</formula2>
    </dataValidation>
    <dataValidation allowBlank="true" error="Pick one of the 5 maturity levels" errorStyle="stop" operator="between" showDropDown="false" showErrorMessage="false" showInputMessage="false" sqref="H46" type="list">
      <formula1>_rubric!$A$326:$A$330</formula1>
      <formula2>0</formula2>
    </dataValidation>
    <dataValidation allowBlank="true" error="Pick one of the 5 maturity levels" errorStyle="stop" operator="between" showDropDown="false" showErrorMessage="false" showInputMessage="false" sqref="I46" type="list">
      <formula1>_rubric!$A$331:$A$335</formula1>
      <formula2>0</formula2>
    </dataValidation>
    <dataValidation allowBlank="true" error="Pick one of the 5 maturity levels" errorStyle="stop" operator="between" showDropDown="false" showErrorMessage="false" showInputMessage="false" sqref="F47" type="list">
      <formula1>_rubric!$A$336:$A$340</formula1>
      <formula2>0</formula2>
    </dataValidation>
    <dataValidation allowBlank="true" error="Pick one of the 5 maturity levels" errorStyle="stop" operator="between" showDropDown="false" showErrorMessage="false" showInputMessage="false" sqref="G47" type="list">
      <formula1>_rubric!$A$341:$A$345</formula1>
      <formula2>0</formula2>
    </dataValidation>
    <dataValidation allowBlank="true" error="Pick one of the 5 maturity levels" errorStyle="stop" operator="between" showDropDown="false" showErrorMessage="false" showInputMessage="false" sqref="H47" type="list">
      <formula1>_rubric!$A$346:$A$350</formula1>
      <formula2>0</formula2>
    </dataValidation>
    <dataValidation allowBlank="true" error="Pick one of the 5 maturity levels" errorStyle="stop" operator="between" showDropDown="false" showErrorMessage="false" showInputMessage="false" sqref="I47" type="list">
      <formula1>_rubric!$A$351:$A$355</formula1>
      <formula2>0</formula2>
    </dataValidation>
    <dataValidation allowBlank="true" error="Pick one of the 5 maturity levels" errorStyle="stop" operator="between" showDropDown="false" showErrorMessage="false" showInputMessage="false" sqref="F48" type="list">
      <formula1>_rubric!$A$356:$A$360</formula1>
      <formula2>0</formula2>
    </dataValidation>
    <dataValidation allowBlank="true" error="Pick one of the 5 maturity levels" errorStyle="stop" operator="between" showDropDown="false" showErrorMessage="false" showInputMessage="false" sqref="G48" type="list">
      <formula1>_rubric!$A$361:$A$365</formula1>
      <formula2>0</formula2>
    </dataValidation>
    <dataValidation allowBlank="true" error="Pick one of the 5 maturity levels" errorStyle="stop" operator="between" showDropDown="false" showErrorMessage="false" showInputMessage="false" sqref="H48" type="list">
      <formula1>_rubric!$A$366:$A$370</formula1>
      <formula2>0</formula2>
    </dataValidation>
    <dataValidation allowBlank="true" error="Pick one of the 5 maturity levels" errorStyle="stop" operator="between" showDropDown="false" showErrorMessage="false" showInputMessage="false" sqref="I48" type="list">
      <formula1>_rubric!$A$371:$A$375</formula1>
      <formula2>0</formula2>
    </dataValidation>
    <dataValidation allowBlank="true" error="Pick one of the 5 maturity levels" errorStyle="stop" operator="between" showDropDown="false" showErrorMessage="false" showInputMessage="false" sqref="F49" type="list">
      <formula1>_rubric!$A$376:$A$380</formula1>
      <formula2>0</formula2>
    </dataValidation>
    <dataValidation allowBlank="true" error="Pick one of the 5 maturity levels" errorStyle="stop" operator="between" showDropDown="false" showErrorMessage="false" showInputMessage="false" sqref="G49" type="list">
      <formula1>_rubric!$A$381:$A$385</formula1>
      <formula2>0</formula2>
    </dataValidation>
    <dataValidation allowBlank="true" error="Pick one of the 5 maturity levels" errorStyle="stop" operator="between" showDropDown="false" showErrorMessage="false" showInputMessage="false" sqref="H49" type="list">
      <formula1>_rubric!$A$386:$A$390</formula1>
      <formula2>0</formula2>
    </dataValidation>
    <dataValidation allowBlank="true" error="Pick one of the 5 maturity levels" errorStyle="stop" operator="between" showDropDown="false" showErrorMessage="false" showInputMessage="false" sqref="I49" type="list">
      <formula1>_rubric!$A$391:$A$395</formula1>
      <formula2>0</formula2>
    </dataValidation>
    <dataValidation allowBlank="true" error="Pick one of the 5 maturity levels" errorStyle="stop" operator="between" showDropDown="false" showErrorMessage="false" showInputMessage="false" sqref="F50" type="list">
      <formula1>_rubric!$A$396:$A$400</formula1>
      <formula2>0</formula2>
    </dataValidation>
    <dataValidation allowBlank="true" error="Pick one of the 5 maturity levels" errorStyle="stop" operator="between" showDropDown="false" showErrorMessage="false" showInputMessage="false" sqref="G50" type="list">
      <formula1>_rubric!$A$401:$A$405</formula1>
      <formula2>0</formula2>
    </dataValidation>
    <dataValidation allowBlank="true" error="Pick one of the 5 maturity levels" errorStyle="stop" operator="between" showDropDown="false" showErrorMessage="false" showInputMessage="false" sqref="H50" type="list">
      <formula1>_rubric!$A$406:$A$410</formula1>
      <formula2>0</formula2>
    </dataValidation>
    <dataValidation allowBlank="true" error="Pick one of the 5 maturity levels" errorStyle="stop" operator="between" showDropDown="false" showErrorMessage="false" showInputMessage="false" sqref="I50" type="list">
      <formula1>_rubric!$A$411:$A$415</formula1>
      <formula2>0</formula2>
    </dataValidation>
    <dataValidation allowBlank="true" error="Pick one of the 5 maturity levels" errorStyle="stop" operator="between" showDropDown="false" showErrorMessage="false" showInputMessage="false" sqref="F51" type="list">
      <formula1>_rubric!$A$416:$A$420</formula1>
      <formula2>0</formula2>
    </dataValidation>
    <dataValidation allowBlank="true" error="Pick one of the 5 maturity levels" errorStyle="stop" operator="between" showDropDown="false" showErrorMessage="false" showInputMessage="false" sqref="G51" type="list">
      <formula1>_rubric!$A$421:$A$425</formula1>
      <formula2>0</formula2>
    </dataValidation>
    <dataValidation allowBlank="true" error="Pick one of the 5 maturity levels" errorStyle="stop" operator="between" showDropDown="false" showErrorMessage="false" showInputMessage="false" sqref="H51" type="list">
      <formula1>_rubric!$A$426:$A$430</formula1>
      <formula2>0</formula2>
    </dataValidation>
    <dataValidation allowBlank="true" error="Pick one of the 5 maturity levels" errorStyle="stop" operator="between" showDropDown="false" showErrorMessage="false" showInputMessage="false" sqref="I51" type="list">
      <formula1>_rubric!$A$431:$A$435</formula1>
      <formula2>0</formula2>
    </dataValidation>
    <dataValidation allowBlank="true" error="Pick one of the 5 maturity levels" errorStyle="stop" operator="between" showDropDown="false" showErrorMessage="false" showInputMessage="false" sqref="F52" type="list">
      <formula1>_rubric!$A$436:$A$440</formula1>
      <formula2>0</formula2>
    </dataValidation>
    <dataValidation allowBlank="true" error="Pick one of the 5 maturity levels" errorStyle="stop" operator="between" showDropDown="false" showErrorMessage="false" showInputMessage="false" sqref="G52" type="list">
      <formula1>_rubric!$A$441:$A$445</formula1>
      <formula2>0</formula2>
    </dataValidation>
    <dataValidation allowBlank="true" error="Pick one of the 5 maturity levels" errorStyle="stop" operator="between" showDropDown="false" showErrorMessage="false" showInputMessage="false" sqref="H52" type="list">
      <formula1>_rubric!$A$446:$A$450</formula1>
      <formula2>0</formula2>
    </dataValidation>
    <dataValidation allowBlank="true" error="Pick one of the 5 maturity levels" errorStyle="stop" operator="between" showDropDown="false" showErrorMessage="false" showInputMessage="false" sqref="I52" type="list">
      <formula1>_rubric!$A$451:$A$455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0" min="3" style="0" width="16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157</v>
      </c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B4" s="15" t="s">
        <v>158</v>
      </c>
      <c r="C4" s="15"/>
      <c r="D4" s="15"/>
      <c r="E4" s="15"/>
      <c r="F4" s="15"/>
      <c r="G4" s="15"/>
      <c r="H4" s="15"/>
      <c r="I4" s="15"/>
      <c r="J4" s="15"/>
    </row>
    <row r="6" customFormat="false" ht="18" hidden="false" customHeight="true" outlineLevel="0" collapsed="false">
      <c r="B6" s="47" t="s">
        <v>159</v>
      </c>
      <c r="C6" s="47"/>
      <c r="D6" s="47"/>
    </row>
    <row r="7" customFormat="false" ht="21.75" hidden="false" customHeight="true" outlineLevel="0" collapsed="false">
      <c r="B7" s="7" t="s">
        <v>160</v>
      </c>
      <c r="C7" s="7"/>
      <c r="D7" s="7" t="s">
        <v>67</v>
      </c>
      <c r="E7" s="7"/>
      <c r="F7" s="7" t="s">
        <v>161</v>
      </c>
      <c r="G7" s="7"/>
      <c r="H7" s="7" t="s">
        <v>162</v>
      </c>
      <c r="I7" s="7"/>
    </row>
    <row r="8" customFormat="false" ht="55.5" hidden="false" customHeight="true" outlineLevel="0" collapsed="false">
      <c r="B8" s="48" t="str">
        <f aca="false">'1. NRR'!D18</f>
        <v/>
      </c>
      <c r="C8" s="48"/>
      <c r="D8" s="48" t="str">
        <f aca="false">'1. NRR'!D19</f>
        <v/>
      </c>
      <c r="E8" s="48"/>
      <c r="F8" s="49" t="str">
        <f aca="false">IF((IF(ISNUMBER(C17),1,0)+IF(ISNUMBER(D17),1,0)+IF(ISNUMBER(E17),1,0))=0,"",(IF(ISNUMBER(C17),C17,0)+IF(ISNUMBER(D17),D17,0)+IF(ISNUMBER(E17),E17,0))/(IF(ISNUMBER(C17),1,0)+IF(ISNUMBER(D17),1,0)+IF(ISNUMBER(E17),1,0)))</f>
        <v/>
      </c>
      <c r="G8" s="49"/>
      <c r="H8" s="50" t="str">
        <f aca="false">IF(F8="","",5-F8)</f>
        <v/>
      </c>
      <c r="I8" s="50"/>
    </row>
    <row r="11" customFormat="false" ht="18" hidden="false" customHeight="true" outlineLevel="0" collapsed="false">
      <c r="B11" s="47" t="s">
        <v>163</v>
      </c>
      <c r="C11" s="47"/>
      <c r="D11" s="47"/>
      <c r="E11" s="47"/>
      <c r="F11" s="47"/>
      <c r="G11" s="47"/>
      <c r="H11" s="47"/>
      <c r="I11" s="47"/>
    </row>
    <row r="12" customFormat="false" ht="21.75" hidden="false" customHeight="true" outlineLevel="0" collapsed="false">
      <c r="B12" s="7" t="s">
        <v>164</v>
      </c>
      <c r="C12" s="7" t="s">
        <v>165</v>
      </c>
      <c r="D12" s="7" t="s">
        <v>166</v>
      </c>
      <c r="E12" s="7" t="s">
        <v>167</v>
      </c>
      <c r="F12" s="27" t="s">
        <v>168</v>
      </c>
      <c r="G12" s="27" t="s">
        <v>169</v>
      </c>
    </row>
    <row r="13" customFormat="false" ht="24" hidden="false" customHeight="true" outlineLevel="0" collapsed="false">
      <c r="B13" s="51" t="s">
        <v>109</v>
      </c>
      <c r="C13" s="52" t="str">
        <f aca="false">'2. Assessment'!F29</f>
        <v/>
      </c>
      <c r="D13" s="52" t="str">
        <f aca="false">'2. Assessment'!F41</f>
        <v/>
      </c>
      <c r="E13" s="52" t="str">
        <f aca="false">'2. Assessment'!F53</f>
        <v/>
      </c>
      <c r="F13" s="53" t="str">
        <f aca="false">IF((IF(ISNUMBER(C13),1,0)+IF(ISNUMBER(D13),1,0)+IF(ISNUMBER(E13),1,0))=0,"",(IF(ISNUMBER(C13),C13,0)+IF(ISNUMBER(D13),D13,0)+IF(ISNUMBER(E13),E13,0))/(IF(ISNUMBER(C13),1,0)+IF(ISNUMBER(D13),1,0)+IF(ISNUMBER(E13),1,0)))</f>
        <v/>
      </c>
      <c r="G13" s="54" t="str">
        <f aca="false">IF(F13="","",5-F13)</f>
        <v/>
      </c>
    </row>
    <row r="14" customFormat="false" ht="24" hidden="false" customHeight="true" outlineLevel="0" collapsed="false">
      <c r="B14" s="55" t="s">
        <v>110</v>
      </c>
      <c r="C14" s="52" t="str">
        <f aca="false">'2. Assessment'!G29</f>
        <v/>
      </c>
      <c r="D14" s="52" t="str">
        <f aca="false">'2. Assessment'!G41</f>
        <v/>
      </c>
      <c r="E14" s="52" t="str">
        <f aca="false">'2. Assessment'!G53</f>
        <v/>
      </c>
      <c r="F14" s="53" t="str">
        <f aca="false">IF((IF(ISNUMBER(C14),1,0)+IF(ISNUMBER(D14),1,0)+IF(ISNUMBER(E14),1,0))=0,"",(IF(ISNUMBER(C14),C14,0)+IF(ISNUMBER(D14),D14,0)+IF(ISNUMBER(E14),E14,0))/(IF(ISNUMBER(C14),1,0)+IF(ISNUMBER(D14),1,0)+IF(ISNUMBER(E14),1,0)))</f>
        <v/>
      </c>
      <c r="G14" s="54" t="str">
        <f aca="false">IF(F14="","",5-F14)</f>
        <v/>
      </c>
    </row>
    <row r="15" customFormat="false" ht="24" hidden="false" customHeight="true" outlineLevel="0" collapsed="false">
      <c r="B15" s="56" t="s">
        <v>111</v>
      </c>
      <c r="C15" s="52" t="str">
        <f aca="false">'2. Assessment'!H29</f>
        <v/>
      </c>
      <c r="D15" s="52" t="str">
        <f aca="false">'2. Assessment'!H41</f>
        <v/>
      </c>
      <c r="E15" s="52" t="str">
        <f aca="false">'2. Assessment'!H53</f>
        <v/>
      </c>
      <c r="F15" s="53" t="str">
        <f aca="false">IF((IF(ISNUMBER(C15),1,0)+IF(ISNUMBER(D15),1,0)+IF(ISNUMBER(E15),1,0))=0,"",(IF(ISNUMBER(C15),C15,0)+IF(ISNUMBER(D15),D15,0)+IF(ISNUMBER(E15),E15,0))/(IF(ISNUMBER(C15),1,0)+IF(ISNUMBER(D15),1,0)+IF(ISNUMBER(E15),1,0)))</f>
        <v/>
      </c>
      <c r="G15" s="54" t="str">
        <f aca="false">IF(F15="","",5-F15)</f>
        <v/>
      </c>
    </row>
    <row r="16" customFormat="false" ht="24" hidden="false" customHeight="true" outlineLevel="0" collapsed="false">
      <c r="B16" s="57" t="s">
        <v>112</v>
      </c>
      <c r="C16" s="52" t="str">
        <f aca="false">'2. Assessment'!I29</f>
        <v/>
      </c>
      <c r="D16" s="52" t="str">
        <f aca="false">'2. Assessment'!I41</f>
        <v/>
      </c>
      <c r="E16" s="52" t="str">
        <f aca="false">'2. Assessment'!I53</f>
        <v/>
      </c>
      <c r="F16" s="53" t="str">
        <f aca="false">IF((IF(ISNUMBER(C16),1,0)+IF(ISNUMBER(D16),1,0)+IF(ISNUMBER(E16),1,0))=0,"",(IF(ISNUMBER(C16),C16,0)+IF(ISNUMBER(D16),D16,0)+IF(ISNUMBER(E16),E16,0))/(IF(ISNUMBER(C16),1,0)+IF(ISNUMBER(D16),1,0)+IF(ISNUMBER(E16),1,0)))</f>
        <v/>
      </c>
      <c r="G16" s="54" t="str">
        <f aca="false">IF(F16="","",5-F16)</f>
        <v/>
      </c>
    </row>
    <row r="17" customFormat="false" ht="27.75" hidden="false" customHeight="true" outlineLevel="0" collapsed="false">
      <c r="B17" s="36" t="s">
        <v>170</v>
      </c>
      <c r="C17" s="58" t="str">
        <f aca="false">'2. Assessment'!J29</f>
        <v/>
      </c>
      <c r="D17" s="58" t="str">
        <f aca="false">'2. Assessment'!J41</f>
        <v/>
      </c>
      <c r="E17" s="58" t="str">
        <f aca="false">'2. Assessment'!J53</f>
        <v/>
      </c>
      <c r="F17" s="59"/>
      <c r="G17" s="59"/>
    </row>
    <row r="20" customFormat="false" ht="25.5" hidden="false" customHeight="true" outlineLevel="0" collapsed="false">
      <c r="B20" s="60" t="s">
        <v>171</v>
      </c>
      <c r="C20" s="60"/>
      <c r="D20" s="60"/>
      <c r="E20" s="60"/>
      <c r="F20" s="60"/>
      <c r="G20" s="60"/>
      <c r="H20" s="60"/>
    </row>
    <row r="21" customFormat="false" ht="21.75" hidden="false" customHeight="true" outlineLevel="0" collapsed="false">
      <c r="B21" s="27" t="s">
        <v>77</v>
      </c>
      <c r="C21" s="27" t="s">
        <v>172</v>
      </c>
      <c r="D21" s="27" t="s">
        <v>169</v>
      </c>
      <c r="E21" s="59"/>
      <c r="F21" s="59"/>
      <c r="G21" s="59"/>
      <c r="H21" s="59"/>
    </row>
    <row r="22" customFormat="false" ht="21.75" hidden="false" customHeight="true" outlineLevel="0" collapsed="false">
      <c r="B22" s="9" t="s">
        <v>173</v>
      </c>
      <c r="C22" s="61" t="str">
        <f aca="false">IF('2. Assessment'!K10="","",'2. Assessment'!K10)</f>
        <v/>
      </c>
      <c r="D22" s="62" t="str">
        <f aca="false">IF(C22="","",5-C22)</f>
        <v/>
      </c>
      <c r="E22" s="59"/>
      <c r="F22" s="59"/>
      <c r="G22" s="59"/>
      <c r="H22" s="59"/>
    </row>
    <row r="23" customFormat="false" ht="21.75" hidden="false" customHeight="true" outlineLevel="0" collapsed="false">
      <c r="B23" s="9" t="s">
        <v>174</v>
      </c>
      <c r="C23" s="61" t="str">
        <f aca="false">IF('2. Assessment'!K11="","",'2. Assessment'!K11)</f>
        <v/>
      </c>
      <c r="D23" s="62" t="str">
        <f aca="false">IF(C23="","",5-C23)</f>
        <v/>
      </c>
      <c r="E23" s="59"/>
      <c r="F23" s="59"/>
      <c r="G23" s="59"/>
      <c r="H23" s="59"/>
    </row>
    <row r="24" customFormat="false" ht="21.75" hidden="false" customHeight="true" outlineLevel="0" collapsed="false">
      <c r="B24" s="9" t="s">
        <v>175</v>
      </c>
      <c r="C24" s="61" t="str">
        <f aca="false">IF('2. Assessment'!K12="","",'2. Assessment'!K12)</f>
        <v/>
      </c>
      <c r="D24" s="62" t="str">
        <f aca="false">IF(C24="","",5-C24)</f>
        <v/>
      </c>
      <c r="E24" s="59"/>
      <c r="F24" s="59"/>
      <c r="G24" s="59"/>
      <c r="H24" s="59"/>
    </row>
    <row r="25" customFormat="false" ht="21.75" hidden="false" customHeight="true" outlineLevel="0" collapsed="false">
      <c r="B25" s="9" t="s">
        <v>176</v>
      </c>
      <c r="C25" s="61" t="str">
        <f aca="false">IF('2. Assessment'!K13="","",'2. Assessment'!K13)</f>
        <v/>
      </c>
      <c r="D25" s="62" t="str">
        <f aca="false">IF(C25="","",5-C25)</f>
        <v/>
      </c>
      <c r="E25" s="59"/>
      <c r="F25" s="59"/>
      <c r="G25" s="59"/>
      <c r="H25" s="59"/>
    </row>
    <row r="26" customFormat="false" ht="21.75" hidden="false" customHeight="true" outlineLevel="0" collapsed="false">
      <c r="B26" s="9" t="s">
        <v>177</v>
      </c>
      <c r="C26" s="61" t="str">
        <f aca="false">IF('2. Assessment'!K14="","",'2. Assessment'!K14)</f>
        <v/>
      </c>
      <c r="D26" s="62" t="str">
        <f aca="false">IF(C26="","",5-C26)</f>
        <v/>
      </c>
      <c r="E26" s="59"/>
      <c r="F26" s="59"/>
      <c r="G26" s="59"/>
      <c r="H26" s="59"/>
    </row>
    <row r="27" customFormat="false" ht="21.75" hidden="false" customHeight="true" outlineLevel="0" collapsed="false">
      <c r="B27" s="9" t="s">
        <v>178</v>
      </c>
      <c r="C27" s="61" t="str">
        <f aca="false">IF('2. Assessment'!K15="","",'2. Assessment'!K15)</f>
        <v/>
      </c>
      <c r="D27" s="62" t="str">
        <f aca="false">IF(C27="","",5-C27)</f>
        <v/>
      </c>
      <c r="E27" s="59"/>
      <c r="F27" s="59"/>
      <c r="G27" s="59"/>
      <c r="H27" s="59"/>
    </row>
    <row r="28" customFormat="false" ht="21.75" hidden="false" customHeight="true" outlineLevel="0" collapsed="false">
      <c r="B28" s="9" t="s">
        <v>179</v>
      </c>
      <c r="C28" s="61" t="str">
        <f aca="false">IF('2. Assessment'!K16="","",'2. Assessment'!K16)</f>
        <v/>
      </c>
      <c r="D28" s="62" t="str">
        <f aca="false">IF(C28="","",5-C28)</f>
        <v/>
      </c>
      <c r="E28" s="59"/>
      <c r="F28" s="59"/>
      <c r="G28" s="59"/>
      <c r="H28" s="59"/>
    </row>
    <row r="29" customFormat="false" ht="24" hidden="false" customHeight="true" outlineLevel="0" collapsed="false">
      <c r="B29" s="36" t="s">
        <v>105</v>
      </c>
      <c r="C29" s="63" t="str">
        <f aca="false">'2. Assessment'!J17</f>
        <v/>
      </c>
      <c r="D29" s="64" t="str">
        <f aca="false">IF(C29="","",5-C29)</f>
        <v/>
      </c>
      <c r="E29" s="59"/>
      <c r="F29" s="59"/>
      <c r="G29" s="59"/>
      <c r="H29" s="59"/>
    </row>
    <row r="31" customFormat="false" ht="25.5" hidden="false" customHeight="true" outlineLevel="0" collapsed="false">
      <c r="B31" s="65" t="s">
        <v>180</v>
      </c>
      <c r="C31" s="65"/>
      <c r="D31" s="65"/>
      <c r="E31" s="65"/>
      <c r="F31" s="65"/>
      <c r="G31" s="65"/>
      <c r="H31" s="65"/>
    </row>
    <row r="32" customFormat="false" ht="21.75" hidden="false" customHeight="true" outlineLevel="0" collapsed="false"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  <c r="G32" s="27" t="s">
        <v>113</v>
      </c>
      <c r="H32" s="27" t="s">
        <v>169</v>
      </c>
    </row>
    <row r="33" customFormat="false" ht="21.75" hidden="false" customHeight="true" outlineLevel="0" collapsed="false">
      <c r="B33" s="9" t="s">
        <v>181</v>
      </c>
      <c r="C33" s="66" t="str">
        <f aca="false">IF('2. Assessment'!K22="","",'2. Assessment'!K22)</f>
        <v/>
      </c>
      <c r="D33" s="66" t="str">
        <f aca="false">IF('2. Assessment'!L22="","",'2. Assessment'!L22)</f>
        <v/>
      </c>
      <c r="E33" s="66" t="str">
        <f aca="false">IF('2. Assessment'!M22="","",'2. Assessment'!M22)</f>
        <v/>
      </c>
      <c r="F33" s="66" t="str">
        <f aca="false">IF('2. Assessment'!N22="","",'2. Assessment'!N22)</f>
        <v/>
      </c>
      <c r="G33" s="42" t="str">
        <f aca="false">IF('2. Assessment'!J22="","",'2. Assessment'!J22)</f>
        <v/>
      </c>
      <c r="H33" s="54" t="str">
        <f aca="false">IF(G33="","",5-G33)</f>
        <v/>
      </c>
    </row>
    <row r="34" customFormat="false" ht="21.75" hidden="false" customHeight="true" outlineLevel="0" collapsed="false">
      <c r="B34" s="9" t="s">
        <v>182</v>
      </c>
      <c r="C34" s="66" t="str">
        <f aca="false">IF('2. Assessment'!K23="","",'2. Assessment'!K23)</f>
        <v/>
      </c>
      <c r="D34" s="66" t="str">
        <f aca="false">IF('2. Assessment'!L23="","",'2. Assessment'!L23)</f>
        <v/>
      </c>
      <c r="E34" s="66" t="str">
        <f aca="false">IF('2. Assessment'!M23="","",'2. Assessment'!M23)</f>
        <v/>
      </c>
      <c r="F34" s="66" t="str">
        <f aca="false">IF('2. Assessment'!N23="","",'2. Assessment'!N23)</f>
        <v/>
      </c>
      <c r="G34" s="42" t="str">
        <f aca="false">IF('2. Assessment'!J23="","",'2. Assessment'!J23)</f>
        <v/>
      </c>
      <c r="H34" s="54" t="str">
        <f aca="false">IF(G34="","",5-G34)</f>
        <v/>
      </c>
    </row>
    <row r="35" customFormat="false" ht="21.75" hidden="false" customHeight="true" outlineLevel="0" collapsed="false">
      <c r="B35" s="9" t="s">
        <v>183</v>
      </c>
      <c r="C35" s="66" t="str">
        <f aca="false">IF('2. Assessment'!K24="","",'2. Assessment'!K24)</f>
        <v/>
      </c>
      <c r="D35" s="66" t="str">
        <f aca="false">IF('2. Assessment'!L24="","",'2. Assessment'!L24)</f>
        <v/>
      </c>
      <c r="E35" s="66" t="str">
        <f aca="false">IF('2. Assessment'!M24="","",'2. Assessment'!M24)</f>
        <v/>
      </c>
      <c r="F35" s="66" t="str">
        <f aca="false">IF('2. Assessment'!N24="","",'2. Assessment'!N24)</f>
        <v/>
      </c>
      <c r="G35" s="42" t="str">
        <f aca="false">IF('2. Assessment'!J24="","",'2. Assessment'!J24)</f>
        <v/>
      </c>
      <c r="H35" s="54" t="str">
        <f aca="false">IF(G35="","",5-G35)</f>
        <v/>
      </c>
    </row>
    <row r="36" customFormat="false" ht="21.75" hidden="false" customHeight="true" outlineLevel="0" collapsed="false">
      <c r="B36" s="9" t="s">
        <v>184</v>
      </c>
      <c r="C36" s="66" t="str">
        <f aca="false">IF('2. Assessment'!K25="","",'2. Assessment'!K25)</f>
        <v/>
      </c>
      <c r="D36" s="66" t="str">
        <f aca="false">IF('2. Assessment'!L25="","",'2. Assessment'!L25)</f>
        <v/>
      </c>
      <c r="E36" s="66" t="str">
        <f aca="false">IF('2. Assessment'!M25="","",'2. Assessment'!M25)</f>
        <v/>
      </c>
      <c r="F36" s="66" t="str">
        <f aca="false">IF('2. Assessment'!N25="","",'2. Assessment'!N25)</f>
        <v/>
      </c>
      <c r="G36" s="42" t="str">
        <f aca="false">IF('2. Assessment'!J25="","",'2. Assessment'!J25)</f>
        <v/>
      </c>
      <c r="H36" s="54" t="str">
        <f aca="false">IF(G36="","",5-G36)</f>
        <v/>
      </c>
    </row>
    <row r="37" customFormat="false" ht="21.75" hidden="false" customHeight="true" outlineLevel="0" collapsed="false">
      <c r="B37" s="9" t="s">
        <v>185</v>
      </c>
      <c r="C37" s="66" t="str">
        <f aca="false">IF('2. Assessment'!K26="","",'2. Assessment'!K26)</f>
        <v/>
      </c>
      <c r="D37" s="66" t="str">
        <f aca="false">IF('2. Assessment'!L26="","",'2. Assessment'!L26)</f>
        <v/>
      </c>
      <c r="E37" s="66" t="str">
        <f aca="false">IF('2. Assessment'!M26="","",'2. Assessment'!M26)</f>
        <v/>
      </c>
      <c r="F37" s="66" t="str">
        <f aca="false">IF('2. Assessment'!N26="","",'2. Assessment'!N26)</f>
        <v/>
      </c>
      <c r="G37" s="42" t="str">
        <f aca="false">IF('2. Assessment'!J26="","",'2. Assessment'!J26)</f>
        <v/>
      </c>
      <c r="H37" s="54" t="str">
        <f aca="false">IF(G37="","",5-G37)</f>
        <v/>
      </c>
    </row>
    <row r="38" customFormat="false" ht="21.75" hidden="false" customHeight="true" outlineLevel="0" collapsed="false">
      <c r="B38" s="9" t="s">
        <v>186</v>
      </c>
      <c r="C38" s="66" t="str">
        <f aca="false">IF('2. Assessment'!K27="","",'2. Assessment'!K27)</f>
        <v/>
      </c>
      <c r="D38" s="66" t="str">
        <f aca="false">IF('2. Assessment'!L27="","",'2. Assessment'!L27)</f>
        <v/>
      </c>
      <c r="E38" s="66" t="str">
        <f aca="false">IF('2. Assessment'!M27="","",'2. Assessment'!M27)</f>
        <v/>
      </c>
      <c r="F38" s="66" t="str">
        <f aca="false">IF('2. Assessment'!N27="","",'2. Assessment'!N27)</f>
        <v/>
      </c>
      <c r="G38" s="42" t="str">
        <f aca="false">IF('2. Assessment'!J27="","",'2. Assessment'!J27)</f>
        <v/>
      </c>
      <c r="H38" s="54" t="str">
        <f aca="false">IF(G38="","",5-G38)</f>
        <v/>
      </c>
    </row>
    <row r="39" customFormat="false" ht="21.75" hidden="false" customHeight="true" outlineLevel="0" collapsed="false">
      <c r="B39" s="9" t="s">
        <v>187</v>
      </c>
      <c r="C39" s="66" t="str">
        <f aca="false">IF('2. Assessment'!K28="","",'2. Assessment'!K28)</f>
        <v/>
      </c>
      <c r="D39" s="66" t="str">
        <f aca="false">IF('2. Assessment'!L28="","",'2. Assessment'!L28)</f>
        <v/>
      </c>
      <c r="E39" s="66" t="str">
        <f aca="false">IF('2. Assessment'!M28="","",'2. Assessment'!M28)</f>
        <v/>
      </c>
      <c r="F39" s="66" t="str">
        <f aca="false">IF('2. Assessment'!N28="","",'2. Assessment'!N28)</f>
        <v/>
      </c>
      <c r="G39" s="42" t="str">
        <f aca="false">IF('2. Assessment'!J28="","",'2. Assessment'!J28)</f>
        <v/>
      </c>
      <c r="H39" s="54" t="str">
        <f aca="false">IF(G39="","",5-G39)</f>
        <v/>
      </c>
    </row>
    <row r="40" customFormat="false" ht="24" hidden="false" customHeight="true" outlineLevel="0" collapsed="false">
      <c r="B40" s="36" t="s">
        <v>138</v>
      </c>
      <c r="C40" s="42" t="str">
        <f aca="false">'2. Assessment'!F29</f>
        <v/>
      </c>
      <c r="D40" s="42" t="str">
        <f aca="false">'2. Assessment'!G29</f>
        <v/>
      </c>
      <c r="E40" s="42" t="str">
        <f aca="false">'2. Assessment'!H29</f>
        <v/>
      </c>
      <c r="F40" s="42" t="str">
        <f aca="false">'2. Assessment'!I29</f>
        <v/>
      </c>
      <c r="G40" s="63" t="str">
        <f aca="false">'2. Assessment'!J29</f>
        <v/>
      </c>
      <c r="H40" s="59"/>
    </row>
    <row r="42" customFormat="false" ht="25.5" hidden="false" customHeight="true" outlineLevel="0" collapsed="false">
      <c r="B42" s="67" t="s">
        <v>188</v>
      </c>
      <c r="C42" s="67"/>
      <c r="D42" s="67"/>
      <c r="E42" s="67"/>
      <c r="F42" s="67"/>
      <c r="G42" s="67"/>
      <c r="H42" s="67"/>
    </row>
    <row r="43" customFormat="false" ht="21.75" hidden="false" customHeight="true" outlineLevel="0" collapsed="false">
      <c r="B43" s="27" t="s">
        <v>108</v>
      </c>
      <c r="C43" s="27" t="s">
        <v>109</v>
      </c>
      <c r="D43" s="27" t="s">
        <v>110</v>
      </c>
      <c r="E43" s="27" t="s">
        <v>111</v>
      </c>
      <c r="F43" s="27" t="s">
        <v>112</v>
      </c>
      <c r="G43" s="27" t="s">
        <v>113</v>
      </c>
      <c r="H43" s="27" t="s">
        <v>169</v>
      </c>
    </row>
    <row r="44" customFormat="false" ht="21.75" hidden="false" customHeight="true" outlineLevel="0" collapsed="false">
      <c r="B44" s="9" t="s">
        <v>181</v>
      </c>
      <c r="C44" s="66" t="str">
        <f aca="false">IF('2. Assessment'!K34="","",'2. Assessment'!K34)</f>
        <v/>
      </c>
      <c r="D44" s="66" t="str">
        <f aca="false">IF('2. Assessment'!L34="","",'2. Assessment'!L34)</f>
        <v/>
      </c>
      <c r="E44" s="66" t="str">
        <f aca="false">IF('2. Assessment'!M34="","",'2. Assessment'!M34)</f>
        <v/>
      </c>
      <c r="F44" s="66" t="str">
        <f aca="false">IF('2. Assessment'!N34="","",'2. Assessment'!N34)</f>
        <v/>
      </c>
      <c r="G44" s="42" t="str">
        <f aca="false">IF('2. Assessment'!J34="","",'2. Assessment'!J34)</f>
        <v/>
      </c>
      <c r="H44" s="54" t="str">
        <f aca="false">IF(G44="","",5-G44)</f>
        <v/>
      </c>
    </row>
    <row r="45" customFormat="false" ht="21.75" hidden="false" customHeight="true" outlineLevel="0" collapsed="false">
      <c r="B45" s="9" t="s">
        <v>182</v>
      </c>
      <c r="C45" s="66" t="str">
        <f aca="false">IF('2. Assessment'!K35="","",'2. Assessment'!K35)</f>
        <v/>
      </c>
      <c r="D45" s="66" t="str">
        <f aca="false">IF('2. Assessment'!L35="","",'2. Assessment'!L35)</f>
        <v/>
      </c>
      <c r="E45" s="66" t="str">
        <f aca="false">IF('2. Assessment'!M35="","",'2. Assessment'!M35)</f>
        <v/>
      </c>
      <c r="F45" s="66" t="str">
        <f aca="false">IF('2. Assessment'!N35="","",'2. Assessment'!N35)</f>
        <v/>
      </c>
      <c r="G45" s="42" t="str">
        <f aca="false">IF('2. Assessment'!J35="","",'2. Assessment'!J35)</f>
        <v/>
      </c>
      <c r="H45" s="54" t="str">
        <f aca="false">IF(G45="","",5-G45)</f>
        <v/>
      </c>
    </row>
    <row r="46" customFormat="false" ht="21.75" hidden="false" customHeight="true" outlineLevel="0" collapsed="false">
      <c r="B46" s="9" t="s">
        <v>183</v>
      </c>
      <c r="C46" s="66" t="str">
        <f aca="false">IF('2. Assessment'!K36="","",'2. Assessment'!K36)</f>
        <v/>
      </c>
      <c r="D46" s="66" t="str">
        <f aca="false">IF('2. Assessment'!L36="","",'2. Assessment'!L36)</f>
        <v/>
      </c>
      <c r="E46" s="66" t="str">
        <f aca="false">IF('2. Assessment'!M36="","",'2. Assessment'!M36)</f>
        <v/>
      </c>
      <c r="F46" s="66" t="str">
        <f aca="false">IF('2. Assessment'!N36="","",'2. Assessment'!N36)</f>
        <v/>
      </c>
      <c r="G46" s="42" t="str">
        <f aca="false">IF('2. Assessment'!J36="","",'2. Assessment'!J36)</f>
        <v/>
      </c>
      <c r="H46" s="54" t="str">
        <f aca="false">IF(G46="","",5-G46)</f>
        <v/>
      </c>
    </row>
    <row r="47" customFormat="false" ht="21.75" hidden="false" customHeight="true" outlineLevel="0" collapsed="false">
      <c r="B47" s="9" t="s">
        <v>184</v>
      </c>
      <c r="C47" s="66" t="str">
        <f aca="false">IF('2. Assessment'!K37="","",'2. Assessment'!K37)</f>
        <v/>
      </c>
      <c r="D47" s="66" t="str">
        <f aca="false">IF('2. Assessment'!L37="","",'2. Assessment'!L37)</f>
        <v/>
      </c>
      <c r="E47" s="66" t="str">
        <f aca="false">IF('2. Assessment'!M37="","",'2. Assessment'!M37)</f>
        <v/>
      </c>
      <c r="F47" s="66" t="str">
        <f aca="false">IF('2. Assessment'!N37="","",'2. Assessment'!N37)</f>
        <v/>
      </c>
      <c r="G47" s="42" t="str">
        <f aca="false">IF('2. Assessment'!J37="","",'2. Assessment'!J37)</f>
        <v/>
      </c>
      <c r="H47" s="54" t="str">
        <f aca="false">IF(G47="","",5-G47)</f>
        <v/>
      </c>
    </row>
    <row r="48" customFormat="false" ht="21.75" hidden="false" customHeight="true" outlineLevel="0" collapsed="false">
      <c r="B48" s="9" t="s">
        <v>185</v>
      </c>
      <c r="C48" s="66" t="str">
        <f aca="false">IF('2. Assessment'!K38="","",'2. Assessment'!K38)</f>
        <v/>
      </c>
      <c r="D48" s="66" t="str">
        <f aca="false">IF('2. Assessment'!L38="","",'2. Assessment'!L38)</f>
        <v/>
      </c>
      <c r="E48" s="66" t="str">
        <f aca="false">IF('2. Assessment'!M38="","",'2. Assessment'!M38)</f>
        <v/>
      </c>
      <c r="F48" s="66" t="str">
        <f aca="false">IF('2. Assessment'!N38="","",'2. Assessment'!N38)</f>
        <v/>
      </c>
      <c r="G48" s="42" t="str">
        <f aca="false">IF('2. Assessment'!J38="","",'2. Assessment'!J38)</f>
        <v/>
      </c>
      <c r="H48" s="54" t="str">
        <f aca="false">IF(G48="","",5-G48)</f>
        <v/>
      </c>
    </row>
    <row r="49" customFormat="false" ht="21.75" hidden="false" customHeight="true" outlineLevel="0" collapsed="false">
      <c r="B49" s="9" t="s">
        <v>186</v>
      </c>
      <c r="C49" s="66" t="str">
        <f aca="false">IF('2. Assessment'!K39="","",'2. Assessment'!K39)</f>
        <v/>
      </c>
      <c r="D49" s="66" t="str">
        <f aca="false">IF('2. Assessment'!L39="","",'2. Assessment'!L39)</f>
        <v/>
      </c>
      <c r="E49" s="66" t="str">
        <f aca="false">IF('2. Assessment'!M39="","",'2. Assessment'!M39)</f>
        <v/>
      </c>
      <c r="F49" s="66" t="str">
        <f aca="false">IF('2. Assessment'!N39="","",'2. Assessment'!N39)</f>
        <v/>
      </c>
      <c r="G49" s="42" t="str">
        <f aca="false">IF('2. Assessment'!J39="","",'2. Assessment'!J39)</f>
        <v/>
      </c>
      <c r="H49" s="54" t="str">
        <f aca="false">IF(G49="","",5-G49)</f>
        <v/>
      </c>
    </row>
    <row r="50" customFormat="false" ht="21.75" hidden="false" customHeight="true" outlineLevel="0" collapsed="false">
      <c r="B50" s="9" t="s">
        <v>187</v>
      </c>
      <c r="C50" s="66" t="str">
        <f aca="false">IF('2. Assessment'!K40="","",'2. Assessment'!K40)</f>
        <v/>
      </c>
      <c r="D50" s="66" t="str">
        <f aca="false">IF('2. Assessment'!L40="","",'2. Assessment'!L40)</f>
        <v/>
      </c>
      <c r="E50" s="66" t="str">
        <f aca="false">IF('2. Assessment'!M40="","",'2. Assessment'!M40)</f>
        <v/>
      </c>
      <c r="F50" s="66" t="str">
        <f aca="false">IF('2. Assessment'!N40="","",'2. Assessment'!N40)</f>
        <v/>
      </c>
      <c r="G50" s="42" t="str">
        <f aca="false">IF('2. Assessment'!J40="","",'2. Assessment'!J40)</f>
        <v/>
      </c>
      <c r="H50" s="54" t="str">
        <f aca="false">IF(G50="","",5-G50)</f>
        <v/>
      </c>
    </row>
    <row r="51" customFormat="false" ht="24" hidden="false" customHeight="true" outlineLevel="0" collapsed="false">
      <c r="B51" s="36" t="s">
        <v>138</v>
      </c>
      <c r="C51" s="42" t="str">
        <f aca="false">'2. Assessment'!F41</f>
        <v/>
      </c>
      <c r="D51" s="42" t="str">
        <f aca="false">'2. Assessment'!G41</f>
        <v/>
      </c>
      <c r="E51" s="42" t="str">
        <f aca="false">'2. Assessment'!H41</f>
        <v/>
      </c>
      <c r="F51" s="42" t="str">
        <f aca="false">'2. Assessment'!I41</f>
        <v/>
      </c>
      <c r="G51" s="63" t="str">
        <f aca="false">'2. Assessment'!J41</f>
        <v/>
      </c>
      <c r="H51" s="59"/>
    </row>
    <row r="53" customFormat="false" ht="25.5" hidden="false" customHeight="true" outlineLevel="0" collapsed="false">
      <c r="B53" s="68" t="s">
        <v>189</v>
      </c>
      <c r="C53" s="68"/>
      <c r="D53" s="68"/>
      <c r="E53" s="68"/>
      <c r="F53" s="68"/>
      <c r="G53" s="68"/>
      <c r="H53" s="68"/>
    </row>
    <row r="54" customFormat="false" ht="21.75" hidden="false" customHeight="true" outlineLevel="0" collapsed="false">
      <c r="B54" s="27" t="s">
        <v>108</v>
      </c>
      <c r="C54" s="27" t="s">
        <v>109</v>
      </c>
      <c r="D54" s="27" t="s">
        <v>110</v>
      </c>
      <c r="E54" s="27" t="s">
        <v>111</v>
      </c>
      <c r="F54" s="27" t="s">
        <v>112</v>
      </c>
      <c r="G54" s="27" t="s">
        <v>113</v>
      </c>
      <c r="H54" s="27" t="s">
        <v>169</v>
      </c>
    </row>
    <row r="55" customFormat="false" ht="21.75" hidden="false" customHeight="true" outlineLevel="0" collapsed="false">
      <c r="B55" s="9" t="s">
        <v>181</v>
      </c>
      <c r="C55" s="66" t="str">
        <f aca="false">IF('2. Assessment'!K46="","",'2. Assessment'!K46)</f>
        <v/>
      </c>
      <c r="D55" s="66" t="str">
        <f aca="false">IF('2. Assessment'!L46="","",'2. Assessment'!L46)</f>
        <v/>
      </c>
      <c r="E55" s="66" t="str">
        <f aca="false">IF('2. Assessment'!M46="","",'2. Assessment'!M46)</f>
        <v/>
      </c>
      <c r="F55" s="66" t="str">
        <f aca="false">IF('2. Assessment'!N46="","",'2. Assessment'!N46)</f>
        <v/>
      </c>
      <c r="G55" s="42" t="str">
        <f aca="false">IF('2. Assessment'!J46="","",'2. Assessment'!J46)</f>
        <v/>
      </c>
      <c r="H55" s="54" t="str">
        <f aca="false">IF(G55="","",5-G55)</f>
        <v/>
      </c>
    </row>
    <row r="56" customFormat="false" ht="21.75" hidden="false" customHeight="true" outlineLevel="0" collapsed="false">
      <c r="B56" s="9" t="s">
        <v>182</v>
      </c>
      <c r="C56" s="66" t="str">
        <f aca="false">IF('2. Assessment'!K47="","",'2. Assessment'!K47)</f>
        <v/>
      </c>
      <c r="D56" s="66" t="str">
        <f aca="false">IF('2. Assessment'!L47="","",'2. Assessment'!L47)</f>
        <v/>
      </c>
      <c r="E56" s="66" t="str">
        <f aca="false">IF('2. Assessment'!M47="","",'2. Assessment'!M47)</f>
        <v/>
      </c>
      <c r="F56" s="66" t="str">
        <f aca="false">IF('2. Assessment'!N47="","",'2. Assessment'!N47)</f>
        <v/>
      </c>
      <c r="G56" s="42" t="str">
        <f aca="false">IF('2. Assessment'!J47="","",'2. Assessment'!J47)</f>
        <v/>
      </c>
      <c r="H56" s="54" t="str">
        <f aca="false">IF(G56="","",5-G56)</f>
        <v/>
      </c>
    </row>
    <row r="57" customFormat="false" ht="21.75" hidden="false" customHeight="true" outlineLevel="0" collapsed="false">
      <c r="B57" s="9" t="s">
        <v>183</v>
      </c>
      <c r="C57" s="66" t="str">
        <f aca="false">IF('2. Assessment'!K48="","",'2. Assessment'!K48)</f>
        <v/>
      </c>
      <c r="D57" s="66" t="str">
        <f aca="false">IF('2. Assessment'!L48="","",'2. Assessment'!L48)</f>
        <v/>
      </c>
      <c r="E57" s="66" t="str">
        <f aca="false">IF('2. Assessment'!M48="","",'2. Assessment'!M48)</f>
        <v/>
      </c>
      <c r="F57" s="66" t="str">
        <f aca="false">IF('2. Assessment'!N48="","",'2. Assessment'!N48)</f>
        <v/>
      </c>
      <c r="G57" s="42" t="str">
        <f aca="false">IF('2. Assessment'!J48="","",'2. Assessment'!J48)</f>
        <v/>
      </c>
      <c r="H57" s="54" t="str">
        <f aca="false">IF(G57="","",5-G57)</f>
        <v/>
      </c>
    </row>
    <row r="58" customFormat="false" ht="21.75" hidden="false" customHeight="true" outlineLevel="0" collapsed="false">
      <c r="B58" s="9" t="s">
        <v>184</v>
      </c>
      <c r="C58" s="66" t="str">
        <f aca="false">IF('2. Assessment'!K49="","",'2. Assessment'!K49)</f>
        <v/>
      </c>
      <c r="D58" s="66" t="str">
        <f aca="false">IF('2. Assessment'!L49="","",'2. Assessment'!L49)</f>
        <v/>
      </c>
      <c r="E58" s="66" t="str">
        <f aca="false">IF('2. Assessment'!M49="","",'2. Assessment'!M49)</f>
        <v/>
      </c>
      <c r="F58" s="66" t="str">
        <f aca="false">IF('2. Assessment'!N49="","",'2. Assessment'!N49)</f>
        <v/>
      </c>
      <c r="G58" s="42" t="str">
        <f aca="false">IF('2. Assessment'!J49="","",'2. Assessment'!J49)</f>
        <v/>
      </c>
      <c r="H58" s="54" t="str">
        <f aca="false">IF(G58="","",5-G58)</f>
        <v/>
      </c>
    </row>
    <row r="59" customFormat="false" ht="21.75" hidden="false" customHeight="true" outlineLevel="0" collapsed="false">
      <c r="B59" s="9" t="s">
        <v>185</v>
      </c>
      <c r="C59" s="66" t="str">
        <f aca="false">IF('2. Assessment'!K50="","",'2. Assessment'!K50)</f>
        <v/>
      </c>
      <c r="D59" s="66" t="str">
        <f aca="false">IF('2. Assessment'!L50="","",'2. Assessment'!L50)</f>
        <v/>
      </c>
      <c r="E59" s="66" t="str">
        <f aca="false">IF('2. Assessment'!M50="","",'2. Assessment'!M50)</f>
        <v/>
      </c>
      <c r="F59" s="66" t="str">
        <f aca="false">IF('2. Assessment'!N50="","",'2. Assessment'!N50)</f>
        <v/>
      </c>
      <c r="G59" s="42" t="str">
        <f aca="false">IF('2. Assessment'!J50="","",'2. Assessment'!J50)</f>
        <v/>
      </c>
      <c r="H59" s="54" t="str">
        <f aca="false">IF(G59="","",5-G59)</f>
        <v/>
      </c>
    </row>
    <row r="60" customFormat="false" ht="21.75" hidden="false" customHeight="true" outlineLevel="0" collapsed="false">
      <c r="B60" s="9" t="s">
        <v>186</v>
      </c>
      <c r="C60" s="66" t="str">
        <f aca="false">IF('2. Assessment'!K51="","",'2. Assessment'!K51)</f>
        <v/>
      </c>
      <c r="D60" s="66" t="str">
        <f aca="false">IF('2. Assessment'!L51="","",'2. Assessment'!L51)</f>
        <v/>
      </c>
      <c r="E60" s="66" t="str">
        <f aca="false">IF('2. Assessment'!M51="","",'2. Assessment'!M51)</f>
        <v/>
      </c>
      <c r="F60" s="66" t="str">
        <f aca="false">IF('2. Assessment'!N51="","",'2. Assessment'!N51)</f>
        <v/>
      </c>
      <c r="G60" s="42" t="str">
        <f aca="false">IF('2. Assessment'!J51="","",'2. Assessment'!J51)</f>
        <v/>
      </c>
      <c r="H60" s="54" t="str">
        <f aca="false">IF(G60="","",5-G60)</f>
        <v/>
      </c>
    </row>
    <row r="61" customFormat="false" ht="21.75" hidden="false" customHeight="true" outlineLevel="0" collapsed="false">
      <c r="B61" s="9" t="s">
        <v>187</v>
      </c>
      <c r="C61" s="66" t="str">
        <f aca="false">IF('2. Assessment'!K52="","",'2. Assessment'!K52)</f>
        <v/>
      </c>
      <c r="D61" s="66" t="str">
        <f aca="false">IF('2. Assessment'!L52="","",'2. Assessment'!L52)</f>
        <v/>
      </c>
      <c r="E61" s="66" t="str">
        <f aca="false">IF('2. Assessment'!M52="","",'2. Assessment'!M52)</f>
        <v/>
      </c>
      <c r="F61" s="66" t="str">
        <f aca="false">IF('2. Assessment'!N52="","",'2. Assessment'!N52)</f>
        <v/>
      </c>
      <c r="G61" s="42" t="str">
        <f aca="false">IF('2. Assessment'!J52="","",'2. Assessment'!J52)</f>
        <v/>
      </c>
      <c r="H61" s="54" t="str">
        <f aca="false">IF(G61="","",5-G61)</f>
        <v/>
      </c>
    </row>
    <row r="62" customFormat="false" ht="24" hidden="false" customHeight="true" outlineLevel="0" collapsed="false">
      <c r="B62" s="36" t="s">
        <v>138</v>
      </c>
      <c r="C62" s="42" t="str">
        <f aca="false">'2. Assessment'!F53</f>
        <v/>
      </c>
      <c r="D62" s="42" t="str">
        <f aca="false">'2. Assessment'!G53</f>
        <v/>
      </c>
      <c r="E62" s="42" t="str">
        <f aca="false">'2. Assessment'!H53</f>
        <v/>
      </c>
      <c r="F62" s="42" t="str">
        <f aca="false">'2. Assessment'!I53</f>
        <v/>
      </c>
      <c r="G62" s="63" t="str">
        <f aca="false">'2. Assessment'!J53</f>
        <v/>
      </c>
      <c r="H62" s="59"/>
    </row>
  </sheetData>
  <mergeCells count="16">
    <mergeCell ref="B3:J3"/>
    <mergeCell ref="B4:J4"/>
    <mergeCell ref="B6:D6"/>
    <mergeCell ref="B7:C7"/>
    <mergeCell ref="D7:E7"/>
    <mergeCell ref="F7:G7"/>
    <mergeCell ref="H7:I7"/>
    <mergeCell ref="B8:C8"/>
    <mergeCell ref="D8:E8"/>
    <mergeCell ref="F8:G8"/>
    <mergeCell ref="H8:I8"/>
    <mergeCell ref="B11:I11"/>
    <mergeCell ref="B20:H20"/>
    <mergeCell ref="B31:H31"/>
    <mergeCell ref="B42:H42"/>
    <mergeCell ref="B53:H53"/>
  </mergeCells>
  <conditionalFormatting sqref="C13">
    <cfRule type="cellIs" priority="2" operator="lessThan" aboveAverage="0" equalAverage="0" bottom="0" percent="0" rank="0" text="" dxfId="0">
      <formula>1.5</formula>
    </cfRule>
    <cfRule type="cellIs" priority="3" operator="between" aboveAverage="0" equalAverage="0" bottom="0" percent="0" rank="0" text="" dxfId="3">
      <formula>1.5</formula>
      <formula>2.5</formula>
    </cfRule>
    <cfRule type="cellIs" priority="4" operator="between" aboveAverage="0" equalAverage="0" bottom="0" percent="0" rank="0" text="" dxfId="4">
      <formula>2.5</formula>
      <formula>3.5</formula>
    </cfRule>
    <cfRule type="cellIs" priority="5" operator="between" aboveAverage="0" equalAverage="0" bottom="0" percent="0" rank="0" text="" dxfId="5">
      <formula>3.5</formula>
      <formula>4.5</formula>
    </cfRule>
    <cfRule type="cellIs" priority="6" operator="greaterThanOrEqual" aboveAverage="0" equalAverage="0" bottom="0" percent="0" rank="0" text="" dxfId="6">
      <formula>4.5</formula>
    </cfRule>
  </conditionalFormatting>
  <conditionalFormatting sqref="D13">
    <cfRule type="cellIs" priority="7" operator="lessThan" aboveAverage="0" equalAverage="0" bottom="0" percent="0" rank="0" text="" dxfId="0">
      <formula>1.5</formula>
    </cfRule>
    <cfRule type="cellIs" priority="8" operator="between" aboveAverage="0" equalAverage="0" bottom="0" percent="0" rank="0" text="" dxfId="3">
      <formula>1.5</formula>
      <formula>2.5</formula>
    </cfRule>
    <cfRule type="cellIs" priority="9" operator="between" aboveAverage="0" equalAverage="0" bottom="0" percent="0" rank="0" text="" dxfId="4">
      <formula>2.5</formula>
      <formula>3.5</formula>
    </cfRule>
    <cfRule type="cellIs" priority="10" operator="between" aboveAverage="0" equalAverage="0" bottom="0" percent="0" rank="0" text="" dxfId="5">
      <formula>3.5</formula>
      <formula>4.5</formula>
    </cfRule>
    <cfRule type="cellIs" priority="11" operator="greaterThanOrEqual" aboveAverage="0" equalAverage="0" bottom="0" percent="0" rank="0" text="" dxfId="6">
      <formula>4.5</formula>
    </cfRule>
  </conditionalFormatting>
  <conditionalFormatting sqref="E13">
    <cfRule type="cellIs" priority="12" operator="lessThan" aboveAverage="0" equalAverage="0" bottom="0" percent="0" rank="0" text="" dxfId="0">
      <formula>1.5</formula>
    </cfRule>
    <cfRule type="cellIs" priority="13" operator="between" aboveAverage="0" equalAverage="0" bottom="0" percent="0" rank="0" text="" dxfId="3">
      <formula>1.5</formula>
      <formula>2.5</formula>
    </cfRule>
    <cfRule type="cellIs" priority="14" operator="between" aboveAverage="0" equalAverage="0" bottom="0" percent="0" rank="0" text="" dxfId="4">
      <formula>2.5</formula>
      <formula>3.5</formula>
    </cfRule>
    <cfRule type="cellIs" priority="15" operator="between" aboveAverage="0" equalAverage="0" bottom="0" percent="0" rank="0" text="" dxfId="5">
      <formula>3.5</formula>
      <formula>4.5</formula>
    </cfRule>
    <cfRule type="cellIs" priority="16" operator="greaterThanOrEqual" aboveAverage="0" equalAverage="0" bottom="0" percent="0" rank="0" text="" dxfId="6">
      <formula>4.5</formula>
    </cfRule>
  </conditionalFormatting>
  <conditionalFormatting sqref="C14">
    <cfRule type="cellIs" priority="17" operator="lessThan" aboveAverage="0" equalAverage="0" bottom="0" percent="0" rank="0" text="" dxfId="0">
      <formula>1.5</formula>
    </cfRule>
    <cfRule type="cellIs" priority="18" operator="between" aboveAverage="0" equalAverage="0" bottom="0" percent="0" rank="0" text="" dxfId="3">
      <formula>1.5</formula>
      <formula>2.5</formula>
    </cfRule>
    <cfRule type="cellIs" priority="19" operator="between" aboveAverage="0" equalAverage="0" bottom="0" percent="0" rank="0" text="" dxfId="4">
      <formula>2.5</formula>
      <formula>3.5</formula>
    </cfRule>
    <cfRule type="cellIs" priority="20" operator="between" aboveAverage="0" equalAverage="0" bottom="0" percent="0" rank="0" text="" dxfId="5">
      <formula>3.5</formula>
      <formula>4.5</formula>
    </cfRule>
    <cfRule type="cellIs" priority="21" operator="greaterThanOrEqual" aboveAverage="0" equalAverage="0" bottom="0" percent="0" rank="0" text="" dxfId="6">
      <formula>4.5</formula>
    </cfRule>
  </conditionalFormatting>
  <conditionalFormatting sqref="D14">
    <cfRule type="cellIs" priority="22" operator="lessThan" aboveAverage="0" equalAverage="0" bottom="0" percent="0" rank="0" text="" dxfId="0">
      <formula>1.5</formula>
    </cfRule>
    <cfRule type="cellIs" priority="23" operator="between" aboveAverage="0" equalAverage="0" bottom="0" percent="0" rank="0" text="" dxfId="3">
      <formula>1.5</formula>
      <formula>2.5</formula>
    </cfRule>
    <cfRule type="cellIs" priority="24" operator="between" aboveAverage="0" equalAverage="0" bottom="0" percent="0" rank="0" text="" dxfId="4">
      <formula>2.5</formula>
      <formula>3.5</formula>
    </cfRule>
    <cfRule type="cellIs" priority="25" operator="between" aboveAverage="0" equalAverage="0" bottom="0" percent="0" rank="0" text="" dxfId="5">
      <formula>3.5</formula>
      <formula>4.5</formula>
    </cfRule>
    <cfRule type="cellIs" priority="26" operator="greaterThanOrEqual" aboveAverage="0" equalAverage="0" bottom="0" percent="0" rank="0" text="" dxfId="6">
      <formula>4.5</formula>
    </cfRule>
  </conditionalFormatting>
  <conditionalFormatting sqref="E14">
    <cfRule type="cellIs" priority="27" operator="lessThan" aboveAverage="0" equalAverage="0" bottom="0" percent="0" rank="0" text="" dxfId="0">
      <formula>1.5</formula>
    </cfRule>
    <cfRule type="cellIs" priority="28" operator="between" aboveAverage="0" equalAverage="0" bottom="0" percent="0" rank="0" text="" dxfId="3">
      <formula>1.5</formula>
      <formula>2.5</formula>
    </cfRule>
    <cfRule type="cellIs" priority="29" operator="between" aboveAverage="0" equalAverage="0" bottom="0" percent="0" rank="0" text="" dxfId="4">
      <formula>2.5</formula>
      <formula>3.5</formula>
    </cfRule>
    <cfRule type="cellIs" priority="30" operator="between" aboveAverage="0" equalAverage="0" bottom="0" percent="0" rank="0" text="" dxfId="5">
      <formula>3.5</formula>
      <formula>4.5</formula>
    </cfRule>
    <cfRule type="cellIs" priority="31" operator="greaterThanOrEqual" aboveAverage="0" equalAverage="0" bottom="0" percent="0" rank="0" text="" dxfId="6">
      <formula>4.5</formula>
    </cfRule>
  </conditionalFormatting>
  <conditionalFormatting sqref="C15">
    <cfRule type="cellIs" priority="32" operator="lessThan" aboveAverage="0" equalAverage="0" bottom="0" percent="0" rank="0" text="" dxfId="0">
      <formula>1.5</formula>
    </cfRule>
    <cfRule type="cellIs" priority="33" operator="between" aboveAverage="0" equalAverage="0" bottom="0" percent="0" rank="0" text="" dxfId="3">
      <formula>1.5</formula>
      <formula>2.5</formula>
    </cfRule>
    <cfRule type="cellIs" priority="34" operator="between" aboveAverage="0" equalAverage="0" bottom="0" percent="0" rank="0" text="" dxfId="4">
      <formula>2.5</formula>
      <formula>3.5</formula>
    </cfRule>
    <cfRule type="cellIs" priority="35" operator="between" aboveAverage="0" equalAverage="0" bottom="0" percent="0" rank="0" text="" dxfId="5">
      <formula>3.5</formula>
      <formula>4.5</formula>
    </cfRule>
    <cfRule type="cellIs" priority="36" operator="greaterThanOrEqual" aboveAverage="0" equalAverage="0" bottom="0" percent="0" rank="0" text="" dxfId="6">
      <formula>4.5</formula>
    </cfRule>
  </conditionalFormatting>
  <conditionalFormatting sqref="D15">
    <cfRule type="cellIs" priority="37" operator="lessThan" aboveAverage="0" equalAverage="0" bottom="0" percent="0" rank="0" text="" dxfId="0">
      <formula>1.5</formula>
    </cfRule>
    <cfRule type="cellIs" priority="38" operator="between" aboveAverage="0" equalAverage="0" bottom="0" percent="0" rank="0" text="" dxfId="3">
      <formula>1.5</formula>
      <formula>2.5</formula>
    </cfRule>
    <cfRule type="cellIs" priority="39" operator="between" aboveAverage="0" equalAverage="0" bottom="0" percent="0" rank="0" text="" dxfId="4">
      <formula>2.5</formula>
      <formula>3.5</formula>
    </cfRule>
    <cfRule type="cellIs" priority="40" operator="between" aboveAverage="0" equalAverage="0" bottom="0" percent="0" rank="0" text="" dxfId="5">
      <formula>3.5</formula>
      <formula>4.5</formula>
    </cfRule>
    <cfRule type="cellIs" priority="41" operator="greaterThanOrEqual" aboveAverage="0" equalAverage="0" bottom="0" percent="0" rank="0" text="" dxfId="6">
      <formula>4.5</formula>
    </cfRule>
  </conditionalFormatting>
  <conditionalFormatting sqref="E15">
    <cfRule type="cellIs" priority="42" operator="lessThan" aboveAverage="0" equalAverage="0" bottom="0" percent="0" rank="0" text="" dxfId="0">
      <formula>1.5</formula>
    </cfRule>
    <cfRule type="cellIs" priority="43" operator="between" aboveAverage="0" equalAverage="0" bottom="0" percent="0" rank="0" text="" dxfId="3">
      <formula>1.5</formula>
      <formula>2.5</formula>
    </cfRule>
    <cfRule type="cellIs" priority="44" operator="between" aboveAverage="0" equalAverage="0" bottom="0" percent="0" rank="0" text="" dxfId="4">
      <formula>2.5</formula>
      <formula>3.5</formula>
    </cfRule>
    <cfRule type="cellIs" priority="45" operator="between" aboveAverage="0" equalAverage="0" bottom="0" percent="0" rank="0" text="" dxfId="5">
      <formula>3.5</formula>
      <formula>4.5</formula>
    </cfRule>
    <cfRule type="cellIs" priority="46" operator="greaterThanOrEqual" aboveAverage="0" equalAverage="0" bottom="0" percent="0" rank="0" text="" dxfId="6">
      <formula>4.5</formula>
    </cfRule>
  </conditionalFormatting>
  <conditionalFormatting sqref="C16">
    <cfRule type="cellIs" priority="47" operator="lessThan" aboveAverage="0" equalAverage="0" bottom="0" percent="0" rank="0" text="" dxfId="0">
      <formula>1.5</formula>
    </cfRule>
    <cfRule type="cellIs" priority="48" operator="between" aboveAverage="0" equalAverage="0" bottom="0" percent="0" rank="0" text="" dxfId="3">
      <formula>1.5</formula>
      <formula>2.5</formula>
    </cfRule>
    <cfRule type="cellIs" priority="49" operator="between" aboveAverage="0" equalAverage="0" bottom="0" percent="0" rank="0" text="" dxfId="4">
      <formula>2.5</formula>
      <formula>3.5</formula>
    </cfRule>
    <cfRule type="cellIs" priority="50" operator="between" aboveAverage="0" equalAverage="0" bottom="0" percent="0" rank="0" text="" dxfId="5">
      <formula>3.5</formula>
      <formula>4.5</formula>
    </cfRule>
    <cfRule type="cellIs" priority="51" operator="greaterThanOrEqual" aboveAverage="0" equalAverage="0" bottom="0" percent="0" rank="0" text="" dxfId="6">
      <formula>4.5</formula>
    </cfRule>
  </conditionalFormatting>
  <conditionalFormatting sqref="D16">
    <cfRule type="cellIs" priority="52" operator="lessThan" aboveAverage="0" equalAverage="0" bottom="0" percent="0" rank="0" text="" dxfId="0">
      <formula>1.5</formula>
    </cfRule>
    <cfRule type="cellIs" priority="53" operator="between" aboveAverage="0" equalAverage="0" bottom="0" percent="0" rank="0" text="" dxfId="3">
      <formula>1.5</formula>
      <formula>2.5</formula>
    </cfRule>
    <cfRule type="cellIs" priority="54" operator="between" aboveAverage="0" equalAverage="0" bottom="0" percent="0" rank="0" text="" dxfId="4">
      <formula>2.5</formula>
      <formula>3.5</formula>
    </cfRule>
    <cfRule type="cellIs" priority="55" operator="between" aboveAverage="0" equalAverage="0" bottom="0" percent="0" rank="0" text="" dxfId="5">
      <formula>3.5</formula>
      <formula>4.5</formula>
    </cfRule>
    <cfRule type="cellIs" priority="56" operator="greaterThanOrEqual" aboveAverage="0" equalAverage="0" bottom="0" percent="0" rank="0" text="" dxfId="6">
      <formula>4.5</formula>
    </cfRule>
  </conditionalFormatting>
  <conditionalFormatting sqref="E16">
    <cfRule type="cellIs" priority="57" operator="lessThan" aboveAverage="0" equalAverage="0" bottom="0" percent="0" rank="0" text="" dxfId="0">
      <formula>1.5</formula>
    </cfRule>
    <cfRule type="cellIs" priority="58" operator="between" aboveAverage="0" equalAverage="0" bottom="0" percent="0" rank="0" text="" dxfId="3">
      <formula>1.5</formula>
      <formula>2.5</formula>
    </cfRule>
    <cfRule type="cellIs" priority="59" operator="between" aboveAverage="0" equalAverage="0" bottom="0" percent="0" rank="0" text="" dxfId="4">
      <formula>2.5</formula>
      <formula>3.5</formula>
    </cfRule>
    <cfRule type="cellIs" priority="60" operator="between" aboveAverage="0" equalAverage="0" bottom="0" percent="0" rank="0" text="" dxfId="5">
      <formula>3.5</formula>
      <formula>4.5</formula>
    </cfRule>
    <cfRule type="cellIs" priority="61" operator="greaterThanOrEqual" aboveAverage="0" equalAverage="0" bottom="0" percent="0" rank="0" text="" dxfId="6">
      <formula>4.5</formula>
    </cfRule>
  </conditionalFormatting>
  <conditionalFormatting sqref="C22">
    <cfRule type="cellIs" priority="62" operator="equal" aboveAverage="0" equalAverage="0" bottom="0" percent="0" rank="0" text="" dxfId="0">
      <formula>1</formula>
    </cfRule>
    <cfRule type="cellIs" priority="63" operator="equal" aboveAverage="0" equalAverage="0" bottom="0" percent="0" rank="0" text="" dxfId="3">
      <formula>2</formula>
    </cfRule>
    <cfRule type="cellIs" priority="64" operator="equal" aboveAverage="0" equalAverage="0" bottom="0" percent="0" rank="0" text="" dxfId="4">
      <formula>3</formula>
    </cfRule>
    <cfRule type="cellIs" priority="65" operator="equal" aboveAverage="0" equalAverage="0" bottom="0" percent="0" rank="0" text="" dxfId="5">
      <formula>4</formula>
    </cfRule>
    <cfRule type="cellIs" priority="66" operator="equal" aboveAverage="0" equalAverage="0" bottom="0" percent="0" rank="0" text="" dxfId="6">
      <formula>5</formula>
    </cfRule>
  </conditionalFormatting>
  <conditionalFormatting sqref="C23">
    <cfRule type="cellIs" priority="67" operator="equal" aboveAverage="0" equalAverage="0" bottom="0" percent="0" rank="0" text="" dxfId="0">
      <formula>1</formula>
    </cfRule>
    <cfRule type="cellIs" priority="68" operator="equal" aboveAverage="0" equalAverage="0" bottom="0" percent="0" rank="0" text="" dxfId="3">
      <formula>2</formula>
    </cfRule>
    <cfRule type="cellIs" priority="69" operator="equal" aboveAverage="0" equalAverage="0" bottom="0" percent="0" rank="0" text="" dxfId="4">
      <formula>3</formula>
    </cfRule>
    <cfRule type="cellIs" priority="70" operator="equal" aboveAverage="0" equalAverage="0" bottom="0" percent="0" rank="0" text="" dxfId="5">
      <formula>4</formula>
    </cfRule>
    <cfRule type="cellIs" priority="71" operator="equal" aboveAverage="0" equalAverage="0" bottom="0" percent="0" rank="0" text="" dxfId="6">
      <formula>5</formula>
    </cfRule>
  </conditionalFormatting>
  <conditionalFormatting sqref="C24">
    <cfRule type="cellIs" priority="72" operator="equal" aboveAverage="0" equalAverage="0" bottom="0" percent="0" rank="0" text="" dxfId="0">
      <formula>1</formula>
    </cfRule>
    <cfRule type="cellIs" priority="73" operator="equal" aboveAverage="0" equalAverage="0" bottom="0" percent="0" rank="0" text="" dxfId="3">
      <formula>2</formula>
    </cfRule>
    <cfRule type="cellIs" priority="74" operator="equal" aboveAverage="0" equalAverage="0" bottom="0" percent="0" rank="0" text="" dxfId="4">
      <formula>3</formula>
    </cfRule>
    <cfRule type="cellIs" priority="75" operator="equal" aboveAverage="0" equalAverage="0" bottom="0" percent="0" rank="0" text="" dxfId="5">
      <formula>4</formula>
    </cfRule>
    <cfRule type="cellIs" priority="76" operator="equal" aboveAverage="0" equalAverage="0" bottom="0" percent="0" rank="0" text="" dxfId="6">
      <formula>5</formula>
    </cfRule>
  </conditionalFormatting>
  <conditionalFormatting sqref="C25">
    <cfRule type="cellIs" priority="77" operator="equal" aboveAverage="0" equalAverage="0" bottom="0" percent="0" rank="0" text="" dxfId="0">
      <formula>1</formula>
    </cfRule>
    <cfRule type="cellIs" priority="78" operator="equal" aboveAverage="0" equalAverage="0" bottom="0" percent="0" rank="0" text="" dxfId="3">
      <formula>2</formula>
    </cfRule>
    <cfRule type="cellIs" priority="79" operator="equal" aboveAverage="0" equalAverage="0" bottom="0" percent="0" rank="0" text="" dxfId="4">
      <formula>3</formula>
    </cfRule>
    <cfRule type="cellIs" priority="80" operator="equal" aboveAverage="0" equalAverage="0" bottom="0" percent="0" rank="0" text="" dxfId="5">
      <formula>4</formula>
    </cfRule>
    <cfRule type="cellIs" priority="81" operator="equal" aboveAverage="0" equalAverage="0" bottom="0" percent="0" rank="0" text="" dxfId="6">
      <formula>5</formula>
    </cfRule>
  </conditionalFormatting>
  <conditionalFormatting sqref="C26">
    <cfRule type="cellIs" priority="82" operator="equal" aboveAverage="0" equalAverage="0" bottom="0" percent="0" rank="0" text="" dxfId="0">
      <formula>1</formula>
    </cfRule>
    <cfRule type="cellIs" priority="83" operator="equal" aboveAverage="0" equalAverage="0" bottom="0" percent="0" rank="0" text="" dxfId="3">
      <formula>2</formula>
    </cfRule>
    <cfRule type="cellIs" priority="84" operator="equal" aboveAverage="0" equalAverage="0" bottom="0" percent="0" rank="0" text="" dxfId="4">
      <formula>3</formula>
    </cfRule>
    <cfRule type="cellIs" priority="85" operator="equal" aboveAverage="0" equalAverage="0" bottom="0" percent="0" rank="0" text="" dxfId="5">
      <formula>4</formula>
    </cfRule>
    <cfRule type="cellIs" priority="86" operator="equal" aboveAverage="0" equalAverage="0" bottom="0" percent="0" rank="0" text="" dxfId="6">
      <formula>5</formula>
    </cfRule>
  </conditionalFormatting>
  <conditionalFormatting sqref="C27">
    <cfRule type="cellIs" priority="87" operator="equal" aboveAverage="0" equalAverage="0" bottom="0" percent="0" rank="0" text="" dxfId="0">
      <formula>1</formula>
    </cfRule>
    <cfRule type="cellIs" priority="88" operator="equal" aboveAverage="0" equalAverage="0" bottom="0" percent="0" rank="0" text="" dxfId="3">
      <formula>2</formula>
    </cfRule>
    <cfRule type="cellIs" priority="89" operator="equal" aboveAverage="0" equalAverage="0" bottom="0" percent="0" rank="0" text="" dxfId="4">
      <formula>3</formula>
    </cfRule>
    <cfRule type="cellIs" priority="90" operator="equal" aboveAverage="0" equalAverage="0" bottom="0" percent="0" rank="0" text="" dxfId="5">
      <formula>4</formula>
    </cfRule>
    <cfRule type="cellIs" priority="91" operator="equal" aboveAverage="0" equalAverage="0" bottom="0" percent="0" rank="0" text="" dxfId="6">
      <formula>5</formula>
    </cfRule>
  </conditionalFormatting>
  <conditionalFormatting sqref="C28">
    <cfRule type="cellIs" priority="92" operator="equal" aboveAverage="0" equalAverage="0" bottom="0" percent="0" rank="0" text="" dxfId="0">
      <formula>1</formula>
    </cfRule>
    <cfRule type="cellIs" priority="93" operator="equal" aboveAverage="0" equalAverage="0" bottom="0" percent="0" rank="0" text="" dxfId="3">
      <formula>2</formula>
    </cfRule>
    <cfRule type="cellIs" priority="94" operator="equal" aboveAverage="0" equalAverage="0" bottom="0" percent="0" rank="0" text="" dxfId="4">
      <formula>3</formula>
    </cfRule>
    <cfRule type="cellIs" priority="95" operator="equal" aboveAverage="0" equalAverage="0" bottom="0" percent="0" rank="0" text="" dxfId="5">
      <formula>4</formula>
    </cfRule>
    <cfRule type="cellIs" priority="96" operator="equal" aboveAverage="0" equalAverage="0" bottom="0" percent="0" rank="0" text="" dxfId="6">
      <formula>5</formula>
    </cfRule>
  </conditionalFormatting>
  <conditionalFormatting sqref="C33">
    <cfRule type="cellIs" priority="97" operator="equal" aboveAverage="0" equalAverage="0" bottom="0" percent="0" rank="0" text="" dxfId="0">
      <formula>1</formula>
    </cfRule>
    <cfRule type="cellIs" priority="98" operator="equal" aboveAverage="0" equalAverage="0" bottom="0" percent="0" rank="0" text="" dxfId="3">
      <formula>2</formula>
    </cfRule>
    <cfRule type="cellIs" priority="99" operator="equal" aboveAverage="0" equalAverage="0" bottom="0" percent="0" rank="0" text="" dxfId="4">
      <formula>3</formula>
    </cfRule>
    <cfRule type="cellIs" priority="100" operator="equal" aboveAverage="0" equalAverage="0" bottom="0" percent="0" rank="0" text="" dxfId="5">
      <formula>4</formula>
    </cfRule>
    <cfRule type="cellIs" priority="101" operator="equal" aboveAverage="0" equalAverage="0" bottom="0" percent="0" rank="0" text="" dxfId="6">
      <formula>5</formula>
    </cfRule>
  </conditionalFormatting>
  <conditionalFormatting sqref="D33">
    <cfRule type="cellIs" priority="102" operator="equal" aboveAverage="0" equalAverage="0" bottom="0" percent="0" rank="0" text="" dxfId="0">
      <formula>1</formula>
    </cfRule>
    <cfRule type="cellIs" priority="103" operator="equal" aboveAverage="0" equalAverage="0" bottom="0" percent="0" rank="0" text="" dxfId="3">
      <formula>2</formula>
    </cfRule>
    <cfRule type="cellIs" priority="104" operator="equal" aboveAverage="0" equalAverage="0" bottom="0" percent="0" rank="0" text="" dxfId="4">
      <formula>3</formula>
    </cfRule>
    <cfRule type="cellIs" priority="105" operator="equal" aboveAverage="0" equalAverage="0" bottom="0" percent="0" rank="0" text="" dxfId="5">
      <formula>4</formula>
    </cfRule>
    <cfRule type="cellIs" priority="106" operator="equal" aboveAverage="0" equalAverage="0" bottom="0" percent="0" rank="0" text="" dxfId="6">
      <formula>5</formula>
    </cfRule>
  </conditionalFormatting>
  <conditionalFormatting sqref="E33">
    <cfRule type="cellIs" priority="107" operator="equal" aboveAverage="0" equalAverage="0" bottom="0" percent="0" rank="0" text="" dxfId="0">
      <formula>1</formula>
    </cfRule>
    <cfRule type="cellIs" priority="108" operator="equal" aboveAverage="0" equalAverage="0" bottom="0" percent="0" rank="0" text="" dxfId="3">
      <formula>2</formula>
    </cfRule>
    <cfRule type="cellIs" priority="109" operator="equal" aboveAverage="0" equalAverage="0" bottom="0" percent="0" rank="0" text="" dxfId="4">
      <formula>3</formula>
    </cfRule>
    <cfRule type="cellIs" priority="110" operator="equal" aboveAverage="0" equalAverage="0" bottom="0" percent="0" rank="0" text="" dxfId="5">
      <formula>4</formula>
    </cfRule>
    <cfRule type="cellIs" priority="111" operator="equal" aboveAverage="0" equalAverage="0" bottom="0" percent="0" rank="0" text="" dxfId="6">
      <formula>5</formula>
    </cfRule>
  </conditionalFormatting>
  <conditionalFormatting sqref="F33">
    <cfRule type="cellIs" priority="112" operator="equal" aboveAverage="0" equalAverage="0" bottom="0" percent="0" rank="0" text="" dxfId="0">
      <formula>1</formula>
    </cfRule>
    <cfRule type="cellIs" priority="113" operator="equal" aboveAverage="0" equalAverage="0" bottom="0" percent="0" rank="0" text="" dxfId="3">
      <formula>2</formula>
    </cfRule>
    <cfRule type="cellIs" priority="114" operator="equal" aboveAverage="0" equalAverage="0" bottom="0" percent="0" rank="0" text="" dxfId="4">
      <formula>3</formula>
    </cfRule>
    <cfRule type="cellIs" priority="115" operator="equal" aboveAverage="0" equalAverage="0" bottom="0" percent="0" rank="0" text="" dxfId="5">
      <formula>4</formula>
    </cfRule>
    <cfRule type="cellIs" priority="116" operator="equal" aboveAverage="0" equalAverage="0" bottom="0" percent="0" rank="0" text="" dxfId="6">
      <formula>5</formula>
    </cfRule>
  </conditionalFormatting>
  <conditionalFormatting sqref="C34">
    <cfRule type="cellIs" priority="117" operator="equal" aboveAverage="0" equalAverage="0" bottom="0" percent="0" rank="0" text="" dxfId="0">
      <formula>1</formula>
    </cfRule>
    <cfRule type="cellIs" priority="118" operator="equal" aboveAverage="0" equalAverage="0" bottom="0" percent="0" rank="0" text="" dxfId="3">
      <formula>2</formula>
    </cfRule>
    <cfRule type="cellIs" priority="119" operator="equal" aboveAverage="0" equalAverage="0" bottom="0" percent="0" rank="0" text="" dxfId="4">
      <formula>3</formula>
    </cfRule>
    <cfRule type="cellIs" priority="120" operator="equal" aboveAverage="0" equalAverage="0" bottom="0" percent="0" rank="0" text="" dxfId="5">
      <formula>4</formula>
    </cfRule>
    <cfRule type="cellIs" priority="121" operator="equal" aboveAverage="0" equalAverage="0" bottom="0" percent="0" rank="0" text="" dxfId="6">
      <formula>5</formula>
    </cfRule>
  </conditionalFormatting>
  <conditionalFormatting sqref="D34">
    <cfRule type="cellIs" priority="122" operator="equal" aboveAverage="0" equalAverage="0" bottom="0" percent="0" rank="0" text="" dxfId="0">
      <formula>1</formula>
    </cfRule>
    <cfRule type="cellIs" priority="123" operator="equal" aboveAverage="0" equalAverage="0" bottom="0" percent="0" rank="0" text="" dxfId="3">
      <formula>2</formula>
    </cfRule>
    <cfRule type="cellIs" priority="124" operator="equal" aboveAverage="0" equalAverage="0" bottom="0" percent="0" rank="0" text="" dxfId="4">
      <formula>3</formula>
    </cfRule>
    <cfRule type="cellIs" priority="125" operator="equal" aboveAverage="0" equalAverage="0" bottom="0" percent="0" rank="0" text="" dxfId="5">
      <formula>4</formula>
    </cfRule>
    <cfRule type="cellIs" priority="126" operator="equal" aboveAverage="0" equalAverage="0" bottom="0" percent="0" rank="0" text="" dxfId="6">
      <formula>5</formula>
    </cfRule>
  </conditionalFormatting>
  <conditionalFormatting sqref="E34">
    <cfRule type="cellIs" priority="127" operator="equal" aboveAverage="0" equalAverage="0" bottom="0" percent="0" rank="0" text="" dxfId="0">
      <formula>1</formula>
    </cfRule>
    <cfRule type="cellIs" priority="128" operator="equal" aboveAverage="0" equalAverage="0" bottom="0" percent="0" rank="0" text="" dxfId="3">
      <formula>2</formula>
    </cfRule>
    <cfRule type="cellIs" priority="129" operator="equal" aboveAverage="0" equalAverage="0" bottom="0" percent="0" rank="0" text="" dxfId="4">
      <formula>3</formula>
    </cfRule>
    <cfRule type="cellIs" priority="130" operator="equal" aboveAverage="0" equalAverage="0" bottom="0" percent="0" rank="0" text="" dxfId="5">
      <formula>4</formula>
    </cfRule>
    <cfRule type="cellIs" priority="131" operator="equal" aboveAverage="0" equalAverage="0" bottom="0" percent="0" rank="0" text="" dxfId="6">
      <formula>5</formula>
    </cfRule>
  </conditionalFormatting>
  <conditionalFormatting sqref="F34">
    <cfRule type="cellIs" priority="132" operator="equal" aboveAverage="0" equalAverage="0" bottom="0" percent="0" rank="0" text="" dxfId="0">
      <formula>1</formula>
    </cfRule>
    <cfRule type="cellIs" priority="133" operator="equal" aboveAverage="0" equalAverage="0" bottom="0" percent="0" rank="0" text="" dxfId="3">
      <formula>2</formula>
    </cfRule>
    <cfRule type="cellIs" priority="134" operator="equal" aboveAverage="0" equalAverage="0" bottom="0" percent="0" rank="0" text="" dxfId="4">
      <formula>3</formula>
    </cfRule>
    <cfRule type="cellIs" priority="135" operator="equal" aboveAverage="0" equalAverage="0" bottom="0" percent="0" rank="0" text="" dxfId="5">
      <formula>4</formula>
    </cfRule>
    <cfRule type="cellIs" priority="136" operator="equal" aboveAverage="0" equalAverage="0" bottom="0" percent="0" rank="0" text="" dxfId="6">
      <formula>5</formula>
    </cfRule>
  </conditionalFormatting>
  <conditionalFormatting sqref="C35">
    <cfRule type="cellIs" priority="137" operator="equal" aboveAverage="0" equalAverage="0" bottom="0" percent="0" rank="0" text="" dxfId="0">
      <formula>1</formula>
    </cfRule>
    <cfRule type="cellIs" priority="138" operator="equal" aboveAverage="0" equalAverage="0" bottom="0" percent="0" rank="0" text="" dxfId="3">
      <formula>2</formula>
    </cfRule>
    <cfRule type="cellIs" priority="139" operator="equal" aboveAverage="0" equalAverage="0" bottom="0" percent="0" rank="0" text="" dxfId="4">
      <formula>3</formula>
    </cfRule>
    <cfRule type="cellIs" priority="140" operator="equal" aboveAverage="0" equalAverage="0" bottom="0" percent="0" rank="0" text="" dxfId="5">
      <formula>4</formula>
    </cfRule>
    <cfRule type="cellIs" priority="141" operator="equal" aboveAverage="0" equalAverage="0" bottom="0" percent="0" rank="0" text="" dxfId="6">
      <formula>5</formula>
    </cfRule>
  </conditionalFormatting>
  <conditionalFormatting sqref="D35">
    <cfRule type="cellIs" priority="142" operator="equal" aboveAverage="0" equalAverage="0" bottom="0" percent="0" rank="0" text="" dxfId="0">
      <formula>1</formula>
    </cfRule>
    <cfRule type="cellIs" priority="143" operator="equal" aboveAverage="0" equalAverage="0" bottom="0" percent="0" rank="0" text="" dxfId="3">
      <formula>2</formula>
    </cfRule>
    <cfRule type="cellIs" priority="144" operator="equal" aboveAverage="0" equalAverage="0" bottom="0" percent="0" rank="0" text="" dxfId="4">
      <formula>3</formula>
    </cfRule>
    <cfRule type="cellIs" priority="145" operator="equal" aboveAverage="0" equalAverage="0" bottom="0" percent="0" rank="0" text="" dxfId="5">
      <formula>4</formula>
    </cfRule>
    <cfRule type="cellIs" priority="146" operator="equal" aboveAverage="0" equalAverage="0" bottom="0" percent="0" rank="0" text="" dxfId="6">
      <formula>5</formula>
    </cfRule>
  </conditionalFormatting>
  <conditionalFormatting sqref="E35">
    <cfRule type="cellIs" priority="147" operator="equal" aboveAverage="0" equalAverage="0" bottom="0" percent="0" rank="0" text="" dxfId="0">
      <formula>1</formula>
    </cfRule>
    <cfRule type="cellIs" priority="148" operator="equal" aboveAverage="0" equalAverage="0" bottom="0" percent="0" rank="0" text="" dxfId="3">
      <formula>2</formula>
    </cfRule>
    <cfRule type="cellIs" priority="149" operator="equal" aboveAverage="0" equalAverage="0" bottom="0" percent="0" rank="0" text="" dxfId="4">
      <formula>3</formula>
    </cfRule>
    <cfRule type="cellIs" priority="150" operator="equal" aboveAverage="0" equalAverage="0" bottom="0" percent="0" rank="0" text="" dxfId="5">
      <formula>4</formula>
    </cfRule>
    <cfRule type="cellIs" priority="151" operator="equal" aboveAverage="0" equalAverage="0" bottom="0" percent="0" rank="0" text="" dxfId="6">
      <formula>5</formula>
    </cfRule>
  </conditionalFormatting>
  <conditionalFormatting sqref="F35">
    <cfRule type="cellIs" priority="152" operator="equal" aboveAverage="0" equalAverage="0" bottom="0" percent="0" rank="0" text="" dxfId="0">
      <formula>1</formula>
    </cfRule>
    <cfRule type="cellIs" priority="153" operator="equal" aboveAverage="0" equalAverage="0" bottom="0" percent="0" rank="0" text="" dxfId="3">
      <formula>2</formula>
    </cfRule>
    <cfRule type="cellIs" priority="154" operator="equal" aboveAverage="0" equalAverage="0" bottom="0" percent="0" rank="0" text="" dxfId="4">
      <formula>3</formula>
    </cfRule>
    <cfRule type="cellIs" priority="155" operator="equal" aboveAverage="0" equalAverage="0" bottom="0" percent="0" rank="0" text="" dxfId="5">
      <formula>4</formula>
    </cfRule>
    <cfRule type="cellIs" priority="156" operator="equal" aboveAverage="0" equalAverage="0" bottom="0" percent="0" rank="0" text="" dxfId="6">
      <formula>5</formula>
    </cfRule>
  </conditionalFormatting>
  <conditionalFormatting sqref="C36">
    <cfRule type="cellIs" priority="157" operator="equal" aboveAverage="0" equalAverage="0" bottom="0" percent="0" rank="0" text="" dxfId="0">
      <formula>1</formula>
    </cfRule>
    <cfRule type="cellIs" priority="158" operator="equal" aboveAverage="0" equalAverage="0" bottom="0" percent="0" rank="0" text="" dxfId="3">
      <formula>2</formula>
    </cfRule>
    <cfRule type="cellIs" priority="159" operator="equal" aboveAverage="0" equalAverage="0" bottom="0" percent="0" rank="0" text="" dxfId="4">
      <formula>3</formula>
    </cfRule>
    <cfRule type="cellIs" priority="160" operator="equal" aboveAverage="0" equalAverage="0" bottom="0" percent="0" rank="0" text="" dxfId="5">
      <formula>4</formula>
    </cfRule>
    <cfRule type="cellIs" priority="161" operator="equal" aboveAverage="0" equalAverage="0" bottom="0" percent="0" rank="0" text="" dxfId="6">
      <formula>5</formula>
    </cfRule>
  </conditionalFormatting>
  <conditionalFormatting sqref="D36">
    <cfRule type="cellIs" priority="162" operator="equal" aboveAverage="0" equalAverage="0" bottom="0" percent="0" rank="0" text="" dxfId="0">
      <formula>1</formula>
    </cfRule>
    <cfRule type="cellIs" priority="163" operator="equal" aboveAverage="0" equalAverage="0" bottom="0" percent="0" rank="0" text="" dxfId="3">
      <formula>2</formula>
    </cfRule>
    <cfRule type="cellIs" priority="164" operator="equal" aboveAverage="0" equalAverage="0" bottom="0" percent="0" rank="0" text="" dxfId="4">
      <formula>3</formula>
    </cfRule>
    <cfRule type="cellIs" priority="165" operator="equal" aboveAverage="0" equalAverage="0" bottom="0" percent="0" rank="0" text="" dxfId="5">
      <formula>4</formula>
    </cfRule>
    <cfRule type="cellIs" priority="166" operator="equal" aboveAverage="0" equalAverage="0" bottom="0" percent="0" rank="0" text="" dxfId="6">
      <formula>5</formula>
    </cfRule>
  </conditionalFormatting>
  <conditionalFormatting sqref="E36">
    <cfRule type="cellIs" priority="167" operator="equal" aboveAverage="0" equalAverage="0" bottom="0" percent="0" rank="0" text="" dxfId="0">
      <formula>1</formula>
    </cfRule>
    <cfRule type="cellIs" priority="168" operator="equal" aboveAverage="0" equalAverage="0" bottom="0" percent="0" rank="0" text="" dxfId="3">
      <formula>2</formula>
    </cfRule>
    <cfRule type="cellIs" priority="169" operator="equal" aboveAverage="0" equalAverage="0" bottom="0" percent="0" rank="0" text="" dxfId="4">
      <formula>3</formula>
    </cfRule>
    <cfRule type="cellIs" priority="170" operator="equal" aboveAverage="0" equalAverage="0" bottom="0" percent="0" rank="0" text="" dxfId="5">
      <formula>4</formula>
    </cfRule>
    <cfRule type="cellIs" priority="171" operator="equal" aboveAverage="0" equalAverage="0" bottom="0" percent="0" rank="0" text="" dxfId="6">
      <formula>5</formula>
    </cfRule>
  </conditionalFormatting>
  <conditionalFormatting sqref="F36">
    <cfRule type="cellIs" priority="172" operator="equal" aboveAverage="0" equalAverage="0" bottom="0" percent="0" rank="0" text="" dxfId="0">
      <formula>1</formula>
    </cfRule>
    <cfRule type="cellIs" priority="173" operator="equal" aboveAverage="0" equalAverage="0" bottom="0" percent="0" rank="0" text="" dxfId="3">
      <formula>2</formula>
    </cfRule>
    <cfRule type="cellIs" priority="174" operator="equal" aboveAverage="0" equalAverage="0" bottom="0" percent="0" rank="0" text="" dxfId="4">
      <formula>3</formula>
    </cfRule>
    <cfRule type="cellIs" priority="175" operator="equal" aboveAverage="0" equalAverage="0" bottom="0" percent="0" rank="0" text="" dxfId="5">
      <formula>4</formula>
    </cfRule>
    <cfRule type="cellIs" priority="176" operator="equal" aboveAverage="0" equalAverage="0" bottom="0" percent="0" rank="0" text="" dxfId="6">
      <formula>5</formula>
    </cfRule>
  </conditionalFormatting>
  <conditionalFormatting sqref="C37">
    <cfRule type="cellIs" priority="177" operator="equal" aboveAverage="0" equalAverage="0" bottom="0" percent="0" rank="0" text="" dxfId="0">
      <formula>1</formula>
    </cfRule>
    <cfRule type="cellIs" priority="178" operator="equal" aboveAverage="0" equalAverage="0" bottom="0" percent="0" rank="0" text="" dxfId="3">
      <formula>2</formula>
    </cfRule>
    <cfRule type="cellIs" priority="179" operator="equal" aboveAverage="0" equalAverage="0" bottom="0" percent="0" rank="0" text="" dxfId="4">
      <formula>3</formula>
    </cfRule>
    <cfRule type="cellIs" priority="180" operator="equal" aboveAverage="0" equalAverage="0" bottom="0" percent="0" rank="0" text="" dxfId="5">
      <formula>4</formula>
    </cfRule>
    <cfRule type="cellIs" priority="181" operator="equal" aboveAverage="0" equalAverage="0" bottom="0" percent="0" rank="0" text="" dxfId="6">
      <formula>5</formula>
    </cfRule>
  </conditionalFormatting>
  <conditionalFormatting sqref="D37">
    <cfRule type="cellIs" priority="182" operator="equal" aboveAverage="0" equalAverage="0" bottom="0" percent="0" rank="0" text="" dxfId="0">
      <formula>1</formula>
    </cfRule>
    <cfRule type="cellIs" priority="183" operator="equal" aboveAverage="0" equalAverage="0" bottom="0" percent="0" rank="0" text="" dxfId="3">
      <formula>2</formula>
    </cfRule>
    <cfRule type="cellIs" priority="184" operator="equal" aboveAverage="0" equalAverage="0" bottom="0" percent="0" rank="0" text="" dxfId="4">
      <formula>3</formula>
    </cfRule>
    <cfRule type="cellIs" priority="185" operator="equal" aboveAverage="0" equalAverage="0" bottom="0" percent="0" rank="0" text="" dxfId="5">
      <formula>4</formula>
    </cfRule>
    <cfRule type="cellIs" priority="186" operator="equal" aboveAverage="0" equalAverage="0" bottom="0" percent="0" rank="0" text="" dxfId="6">
      <formula>5</formula>
    </cfRule>
  </conditionalFormatting>
  <conditionalFormatting sqref="E37">
    <cfRule type="cellIs" priority="187" operator="equal" aboveAverage="0" equalAverage="0" bottom="0" percent="0" rank="0" text="" dxfId="0">
      <formula>1</formula>
    </cfRule>
    <cfRule type="cellIs" priority="188" operator="equal" aboveAverage="0" equalAverage="0" bottom="0" percent="0" rank="0" text="" dxfId="3">
      <formula>2</formula>
    </cfRule>
    <cfRule type="cellIs" priority="189" operator="equal" aboveAverage="0" equalAverage="0" bottom="0" percent="0" rank="0" text="" dxfId="4">
      <formula>3</formula>
    </cfRule>
    <cfRule type="cellIs" priority="190" operator="equal" aboveAverage="0" equalAverage="0" bottom="0" percent="0" rank="0" text="" dxfId="5">
      <formula>4</formula>
    </cfRule>
    <cfRule type="cellIs" priority="191" operator="equal" aboveAverage="0" equalAverage="0" bottom="0" percent="0" rank="0" text="" dxfId="6">
      <formula>5</formula>
    </cfRule>
  </conditionalFormatting>
  <conditionalFormatting sqref="F37">
    <cfRule type="cellIs" priority="192" operator="equal" aboveAverage="0" equalAverage="0" bottom="0" percent="0" rank="0" text="" dxfId="0">
      <formula>1</formula>
    </cfRule>
    <cfRule type="cellIs" priority="193" operator="equal" aboveAverage="0" equalAverage="0" bottom="0" percent="0" rank="0" text="" dxfId="3">
      <formula>2</formula>
    </cfRule>
    <cfRule type="cellIs" priority="194" operator="equal" aboveAverage="0" equalAverage="0" bottom="0" percent="0" rank="0" text="" dxfId="4">
      <formula>3</formula>
    </cfRule>
    <cfRule type="cellIs" priority="195" operator="equal" aboveAverage="0" equalAverage="0" bottom="0" percent="0" rank="0" text="" dxfId="5">
      <formula>4</formula>
    </cfRule>
    <cfRule type="cellIs" priority="196" operator="equal" aboveAverage="0" equalAverage="0" bottom="0" percent="0" rank="0" text="" dxfId="6">
      <formula>5</formula>
    </cfRule>
  </conditionalFormatting>
  <conditionalFormatting sqref="C38">
    <cfRule type="cellIs" priority="197" operator="equal" aboveAverage="0" equalAverage="0" bottom="0" percent="0" rank="0" text="" dxfId="0">
      <formula>1</formula>
    </cfRule>
    <cfRule type="cellIs" priority="198" operator="equal" aboveAverage="0" equalAverage="0" bottom="0" percent="0" rank="0" text="" dxfId="3">
      <formula>2</formula>
    </cfRule>
    <cfRule type="cellIs" priority="199" operator="equal" aboveAverage="0" equalAverage="0" bottom="0" percent="0" rank="0" text="" dxfId="4">
      <formula>3</formula>
    </cfRule>
    <cfRule type="cellIs" priority="200" operator="equal" aboveAverage="0" equalAverage="0" bottom="0" percent="0" rank="0" text="" dxfId="5">
      <formula>4</formula>
    </cfRule>
    <cfRule type="cellIs" priority="201" operator="equal" aboveAverage="0" equalAverage="0" bottom="0" percent="0" rank="0" text="" dxfId="6">
      <formula>5</formula>
    </cfRule>
  </conditionalFormatting>
  <conditionalFormatting sqref="D38">
    <cfRule type="cellIs" priority="202" operator="equal" aboveAverage="0" equalAverage="0" bottom="0" percent="0" rank="0" text="" dxfId="0">
      <formula>1</formula>
    </cfRule>
    <cfRule type="cellIs" priority="203" operator="equal" aboveAverage="0" equalAverage="0" bottom="0" percent="0" rank="0" text="" dxfId="3">
      <formula>2</formula>
    </cfRule>
    <cfRule type="cellIs" priority="204" operator="equal" aboveAverage="0" equalAverage="0" bottom="0" percent="0" rank="0" text="" dxfId="4">
      <formula>3</formula>
    </cfRule>
    <cfRule type="cellIs" priority="205" operator="equal" aboveAverage="0" equalAverage="0" bottom="0" percent="0" rank="0" text="" dxfId="5">
      <formula>4</formula>
    </cfRule>
    <cfRule type="cellIs" priority="206" operator="equal" aboveAverage="0" equalAverage="0" bottom="0" percent="0" rank="0" text="" dxfId="6">
      <formula>5</formula>
    </cfRule>
  </conditionalFormatting>
  <conditionalFormatting sqref="E38">
    <cfRule type="cellIs" priority="207" operator="equal" aboveAverage="0" equalAverage="0" bottom="0" percent="0" rank="0" text="" dxfId="0">
      <formula>1</formula>
    </cfRule>
    <cfRule type="cellIs" priority="208" operator="equal" aboveAverage="0" equalAverage="0" bottom="0" percent="0" rank="0" text="" dxfId="3">
      <formula>2</formula>
    </cfRule>
    <cfRule type="cellIs" priority="209" operator="equal" aboveAverage="0" equalAverage="0" bottom="0" percent="0" rank="0" text="" dxfId="4">
      <formula>3</formula>
    </cfRule>
    <cfRule type="cellIs" priority="210" operator="equal" aboveAverage="0" equalAverage="0" bottom="0" percent="0" rank="0" text="" dxfId="5">
      <formula>4</formula>
    </cfRule>
    <cfRule type="cellIs" priority="211" operator="equal" aboveAverage="0" equalAverage="0" bottom="0" percent="0" rank="0" text="" dxfId="6">
      <formula>5</formula>
    </cfRule>
  </conditionalFormatting>
  <conditionalFormatting sqref="F38">
    <cfRule type="cellIs" priority="212" operator="equal" aboveAverage="0" equalAverage="0" bottom="0" percent="0" rank="0" text="" dxfId="0">
      <formula>1</formula>
    </cfRule>
    <cfRule type="cellIs" priority="213" operator="equal" aboveAverage="0" equalAverage="0" bottom="0" percent="0" rank="0" text="" dxfId="3">
      <formula>2</formula>
    </cfRule>
    <cfRule type="cellIs" priority="214" operator="equal" aboveAverage="0" equalAverage="0" bottom="0" percent="0" rank="0" text="" dxfId="4">
      <formula>3</formula>
    </cfRule>
    <cfRule type="cellIs" priority="215" operator="equal" aboveAverage="0" equalAverage="0" bottom="0" percent="0" rank="0" text="" dxfId="5">
      <formula>4</formula>
    </cfRule>
    <cfRule type="cellIs" priority="216" operator="equal" aboveAverage="0" equalAverage="0" bottom="0" percent="0" rank="0" text="" dxfId="6">
      <formula>5</formula>
    </cfRule>
  </conditionalFormatting>
  <conditionalFormatting sqref="C39">
    <cfRule type="cellIs" priority="217" operator="equal" aboveAverage="0" equalAverage="0" bottom="0" percent="0" rank="0" text="" dxfId="0">
      <formula>1</formula>
    </cfRule>
    <cfRule type="cellIs" priority="218" operator="equal" aboveAverage="0" equalAverage="0" bottom="0" percent="0" rank="0" text="" dxfId="3">
      <formula>2</formula>
    </cfRule>
    <cfRule type="cellIs" priority="219" operator="equal" aboveAverage="0" equalAverage="0" bottom="0" percent="0" rank="0" text="" dxfId="4">
      <formula>3</formula>
    </cfRule>
    <cfRule type="cellIs" priority="220" operator="equal" aboveAverage="0" equalAverage="0" bottom="0" percent="0" rank="0" text="" dxfId="5">
      <formula>4</formula>
    </cfRule>
    <cfRule type="cellIs" priority="221" operator="equal" aboveAverage="0" equalAverage="0" bottom="0" percent="0" rank="0" text="" dxfId="6">
      <formula>5</formula>
    </cfRule>
  </conditionalFormatting>
  <conditionalFormatting sqref="D39">
    <cfRule type="cellIs" priority="222" operator="equal" aboveAverage="0" equalAverage="0" bottom="0" percent="0" rank="0" text="" dxfId="0">
      <formula>1</formula>
    </cfRule>
    <cfRule type="cellIs" priority="223" operator="equal" aboveAverage="0" equalAverage="0" bottom="0" percent="0" rank="0" text="" dxfId="3">
      <formula>2</formula>
    </cfRule>
    <cfRule type="cellIs" priority="224" operator="equal" aboveAverage="0" equalAverage="0" bottom="0" percent="0" rank="0" text="" dxfId="4">
      <formula>3</formula>
    </cfRule>
    <cfRule type="cellIs" priority="225" operator="equal" aboveAverage="0" equalAverage="0" bottom="0" percent="0" rank="0" text="" dxfId="5">
      <formula>4</formula>
    </cfRule>
    <cfRule type="cellIs" priority="226" operator="equal" aboveAverage="0" equalAverage="0" bottom="0" percent="0" rank="0" text="" dxfId="6">
      <formula>5</formula>
    </cfRule>
  </conditionalFormatting>
  <conditionalFormatting sqref="E39">
    <cfRule type="cellIs" priority="227" operator="equal" aboveAverage="0" equalAverage="0" bottom="0" percent="0" rank="0" text="" dxfId="0">
      <formula>1</formula>
    </cfRule>
    <cfRule type="cellIs" priority="228" operator="equal" aboveAverage="0" equalAverage="0" bottom="0" percent="0" rank="0" text="" dxfId="3">
      <formula>2</formula>
    </cfRule>
    <cfRule type="cellIs" priority="229" operator="equal" aboveAverage="0" equalAverage="0" bottom="0" percent="0" rank="0" text="" dxfId="4">
      <formula>3</formula>
    </cfRule>
    <cfRule type="cellIs" priority="230" operator="equal" aboveAverage="0" equalAverage="0" bottom="0" percent="0" rank="0" text="" dxfId="5">
      <formula>4</formula>
    </cfRule>
    <cfRule type="cellIs" priority="231" operator="equal" aboveAverage="0" equalAverage="0" bottom="0" percent="0" rank="0" text="" dxfId="6">
      <formula>5</formula>
    </cfRule>
  </conditionalFormatting>
  <conditionalFormatting sqref="F39">
    <cfRule type="cellIs" priority="232" operator="equal" aboveAverage="0" equalAverage="0" bottom="0" percent="0" rank="0" text="" dxfId="0">
      <formula>1</formula>
    </cfRule>
    <cfRule type="cellIs" priority="233" operator="equal" aboveAverage="0" equalAverage="0" bottom="0" percent="0" rank="0" text="" dxfId="3">
      <formula>2</formula>
    </cfRule>
    <cfRule type="cellIs" priority="234" operator="equal" aboveAverage="0" equalAverage="0" bottom="0" percent="0" rank="0" text="" dxfId="4">
      <formula>3</formula>
    </cfRule>
    <cfRule type="cellIs" priority="235" operator="equal" aboveAverage="0" equalAverage="0" bottom="0" percent="0" rank="0" text="" dxfId="5">
      <formula>4</formula>
    </cfRule>
    <cfRule type="cellIs" priority="236" operator="equal" aboveAverage="0" equalAverage="0" bottom="0" percent="0" rank="0" text="" dxfId="6">
      <formula>5</formula>
    </cfRule>
  </conditionalFormatting>
  <conditionalFormatting sqref="C44">
    <cfRule type="cellIs" priority="237" operator="equal" aboveAverage="0" equalAverage="0" bottom="0" percent="0" rank="0" text="" dxfId="0">
      <formula>1</formula>
    </cfRule>
    <cfRule type="cellIs" priority="238" operator="equal" aboveAverage="0" equalAverage="0" bottom="0" percent="0" rank="0" text="" dxfId="3">
      <formula>2</formula>
    </cfRule>
    <cfRule type="cellIs" priority="239" operator="equal" aboveAverage="0" equalAverage="0" bottom="0" percent="0" rank="0" text="" dxfId="4">
      <formula>3</formula>
    </cfRule>
    <cfRule type="cellIs" priority="240" operator="equal" aboveAverage="0" equalAverage="0" bottom="0" percent="0" rank="0" text="" dxfId="5">
      <formula>4</formula>
    </cfRule>
    <cfRule type="cellIs" priority="241" operator="equal" aboveAverage="0" equalAverage="0" bottom="0" percent="0" rank="0" text="" dxfId="6">
      <formula>5</formula>
    </cfRule>
  </conditionalFormatting>
  <conditionalFormatting sqref="D44">
    <cfRule type="cellIs" priority="242" operator="equal" aboveAverage="0" equalAverage="0" bottom="0" percent="0" rank="0" text="" dxfId="0">
      <formula>1</formula>
    </cfRule>
    <cfRule type="cellIs" priority="243" operator="equal" aboveAverage="0" equalAverage="0" bottom="0" percent="0" rank="0" text="" dxfId="3">
      <formula>2</formula>
    </cfRule>
    <cfRule type="cellIs" priority="244" operator="equal" aboveAverage="0" equalAverage="0" bottom="0" percent="0" rank="0" text="" dxfId="4">
      <formula>3</formula>
    </cfRule>
    <cfRule type="cellIs" priority="245" operator="equal" aboveAverage="0" equalAverage="0" bottom="0" percent="0" rank="0" text="" dxfId="5">
      <formula>4</formula>
    </cfRule>
    <cfRule type="cellIs" priority="246" operator="equal" aboveAverage="0" equalAverage="0" bottom="0" percent="0" rank="0" text="" dxfId="6">
      <formula>5</formula>
    </cfRule>
  </conditionalFormatting>
  <conditionalFormatting sqref="E44">
    <cfRule type="cellIs" priority="247" operator="equal" aboveAverage="0" equalAverage="0" bottom="0" percent="0" rank="0" text="" dxfId="0">
      <formula>1</formula>
    </cfRule>
    <cfRule type="cellIs" priority="248" operator="equal" aboveAverage="0" equalAverage="0" bottom="0" percent="0" rank="0" text="" dxfId="3">
      <formula>2</formula>
    </cfRule>
    <cfRule type="cellIs" priority="249" operator="equal" aboveAverage="0" equalAverage="0" bottom="0" percent="0" rank="0" text="" dxfId="4">
      <formula>3</formula>
    </cfRule>
    <cfRule type="cellIs" priority="250" operator="equal" aboveAverage="0" equalAverage="0" bottom="0" percent="0" rank="0" text="" dxfId="5">
      <formula>4</formula>
    </cfRule>
    <cfRule type="cellIs" priority="251" operator="equal" aboveAverage="0" equalAverage="0" bottom="0" percent="0" rank="0" text="" dxfId="6">
      <formula>5</formula>
    </cfRule>
  </conditionalFormatting>
  <conditionalFormatting sqref="F44">
    <cfRule type="cellIs" priority="252" operator="equal" aboveAverage="0" equalAverage="0" bottom="0" percent="0" rank="0" text="" dxfId="0">
      <formula>1</formula>
    </cfRule>
    <cfRule type="cellIs" priority="253" operator="equal" aboveAverage="0" equalAverage="0" bottom="0" percent="0" rank="0" text="" dxfId="3">
      <formula>2</formula>
    </cfRule>
    <cfRule type="cellIs" priority="254" operator="equal" aboveAverage="0" equalAverage="0" bottom="0" percent="0" rank="0" text="" dxfId="4">
      <formula>3</formula>
    </cfRule>
    <cfRule type="cellIs" priority="255" operator="equal" aboveAverage="0" equalAverage="0" bottom="0" percent="0" rank="0" text="" dxfId="5">
      <formula>4</formula>
    </cfRule>
    <cfRule type="cellIs" priority="256" operator="equal" aboveAverage="0" equalAverage="0" bottom="0" percent="0" rank="0" text="" dxfId="6">
      <formula>5</formula>
    </cfRule>
  </conditionalFormatting>
  <conditionalFormatting sqref="C45">
    <cfRule type="cellIs" priority="257" operator="equal" aboveAverage="0" equalAverage="0" bottom="0" percent="0" rank="0" text="" dxfId="0">
      <formula>1</formula>
    </cfRule>
    <cfRule type="cellIs" priority="258" operator="equal" aboveAverage="0" equalAverage="0" bottom="0" percent="0" rank="0" text="" dxfId="3">
      <formula>2</formula>
    </cfRule>
    <cfRule type="cellIs" priority="259" operator="equal" aboveAverage="0" equalAverage="0" bottom="0" percent="0" rank="0" text="" dxfId="4">
      <formula>3</formula>
    </cfRule>
    <cfRule type="cellIs" priority="260" operator="equal" aboveAverage="0" equalAverage="0" bottom="0" percent="0" rank="0" text="" dxfId="5">
      <formula>4</formula>
    </cfRule>
    <cfRule type="cellIs" priority="261" operator="equal" aboveAverage="0" equalAverage="0" bottom="0" percent="0" rank="0" text="" dxfId="6">
      <formula>5</formula>
    </cfRule>
  </conditionalFormatting>
  <conditionalFormatting sqref="D45">
    <cfRule type="cellIs" priority="262" operator="equal" aboveAverage="0" equalAverage="0" bottom="0" percent="0" rank="0" text="" dxfId="0">
      <formula>1</formula>
    </cfRule>
    <cfRule type="cellIs" priority="263" operator="equal" aboveAverage="0" equalAverage="0" bottom="0" percent="0" rank="0" text="" dxfId="3">
      <formula>2</formula>
    </cfRule>
    <cfRule type="cellIs" priority="264" operator="equal" aboveAverage="0" equalAverage="0" bottom="0" percent="0" rank="0" text="" dxfId="4">
      <formula>3</formula>
    </cfRule>
    <cfRule type="cellIs" priority="265" operator="equal" aboveAverage="0" equalAverage="0" bottom="0" percent="0" rank="0" text="" dxfId="5">
      <formula>4</formula>
    </cfRule>
    <cfRule type="cellIs" priority="266" operator="equal" aboveAverage="0" equalAverage="0" bottom="0" percent="0" rank="0" text="" dxfId="6">
      <formula>5</formula>
    </cfRule>
  </conditionalFormatting>
  <conditionalFormatting sqref="E45">
    <cfRule type="cellIs" priority="267" operator="equal" aboveAverage="0" equalAverage="0" bottom="0" percent="0" rank="0" text="" dxfId="0">
      <formula>1</formula>
    </cfRule>
    <cfRule type="cellIs" priority="268" operator="equal" aboveAverage="0" equalAverage="0" bottom="0" percent="0" rank="0" text="" dxfId="3">
      <formula>2</formula>
    </cfRule>
    <cfRule type="cellIs" priority="269" operator="equal" aboveAverage="0" equalAverage="0" bottom="0" percent="0" rank="0" text="" dxfId="4">
      <formula>3</formula>
    </cfRule>
    <cfRule type="cellIs" priority="270" operator="equal" aboveAverage="0" equalAverage="0" bottom="0" percent="0" rank="0" text="" dxfId="5">
      <formula>4</formula>
    </cfRule>
    <cfRule type="cellIs" priority="271" operator="equal" aboveAverage="0" equalAverage="0" bottom="0" percent="0" rank="0" text="" dxfId="6">
      <formula>5</formula>
    </cfRule>
  </conditionalFormatting>
  <conditionalFormatting sqref="F45">
    <cfRule type="cellIs" priority="272" operator="equal" aboveAverage="0" equalAverage="0" bottom="0" percent="0" rank="0" text="" dxfId="0">
      <formula>1</formula>
    </cfRule>
    <cfRule type="cellIs" priority="273" operator="equal" aboveAverage="0" equalAverage="0" bottom="0" percent="0" rank="0" text="" dxfId="3">
      <formula>2</formula>
    </cfRule>
    <cfRule type="cellIs" priority="274" operator="equal" aboveAverage="0" equalAverage="0" bottom="0" percent="0" rank="0" text="" dxfId="4">
      <formula>3</formula>
    </cfRule>
    <cfRule type="cellIs" priority="275" operator="equal" aboveAverage="0" equalAverage="0" bottom="0" percent="0" rank="0" text="" dxfId="5">
      <formula>4</formula>
    </cfRule>
    <cfRule type="cellIs" priority="276" operator="equal" aboveAverage="0" equalAverage="0" bottom="0" percent="0" rank="0" text="" dxfId="6">
      <formula>5</formula>
    </cfRule>
  </conditionalFormatting>
  <conditionalFormatting sqref="C46">
    <cfRule type="cellIs" priority="277" operator="equal" aboveAverage="0" equalAverage="0" bottom="0" percent="0" rank="0" text="" dxfId="0">
      <formula>1</formula>
    </cfRule>
    <cfRule type="cellIs" priority="278" operator="equal" aboveAverage="0" equalAverage="0" bottom="0" percent="0" rank="0" text="" dxfId="3">
      <formula>2</formula>
    </cfRule>
    <cfRule type="cellIs" priority="279" operator="equal" aboveAverage="0" equalAverage="0" bottom="0" percent="0" rank="0" text="" dxfId="4">
      <formula>3</formula>
    </cfRule>
    <cfRule type="cellIs" priority="280" operator="equal" aboveAverage="0" equalAverage="0" bottom="0" percent="0" rank="0" text="" dxfId="5">
      <formula>4</formula>
    </cfRule>
    <cfRule type="cellIs" priority="281" operator="equal" aboveAverage="0" equalAverage="0" bottom="0" percent="0" rank="0" text="" dxfId="6">
      <formula>5</formula>
    </cfRule>
  </conditionalFormatting>
  <conditionalFormatting sqref="D46">
    <cfRule type="cellIs" priority="282" operator="equal" aboveAverage="0" equalAverage="0" bottom="0" percent="0" rank="0" text="" dxfId="0">
      <formula>1</formula>
    </cfRule>
    <cfRule type="cellIs" priority="283" operator="equal" aboveAverage="0" equalAverage="0" bottom="0" percent="0" rank="0" text="" dxfId="3">
      <formula>2</formula>
    </cfRule>
    <cfRule type="cellIs" priority="284" operator="equal" aboveAverage="0" equalAverage="0" bottom="0" percent="0" rank="0" text="" dxfId="4">
      <formula>3</formula>
    </cfRule>
    <cfRule type="cellIs" priority="285" operator="equal" aboveAverage="0" equalAverage="0" bottom="0" percent="0" rank="0" text="" dxfId="5">
      <formula>4</formula>
    </cfRule>
    <cfRule type="cellIs" priority="286" operator="equal" aboveAverage="0" equalAverage="0" bottom="0" percent="0" rank="0" text="" dxfId="6">
      <formula>5</formula>
    </cfRule>
  </conditionalFormatting>
  <conditionalFormatting sqref="E46">
    <cfRule type="cellIs" priority="287" operator="equal" aboveAverage="0" equalAverage="0" bottom="0" percent="0" rank="0" text="" dxfId="0">
      <formula>1</formula>
    </cfRule>
    <cfRule type="cellIs" priority="288" operator="equal" aboveAverage="0" equalAverage="0" bottom="0" percent="0" rank="0" text="" dxfId="3">
      <formula>2</formula>
    </cfRule>
    <cfRule type="cellIs" priority="289" operator="equal" aboveAverage="0" equalAverage="0" bottom="0" percent="0" rank="0" text="" dxfId="4">
      <formula>3</formula>
    </cfRule>
    <cfRule type="cellIs" priority="290" operator="equal" aboveAverage="0" equalAverage="0" bottom="0" percent="0" rank="0" text="" dxfId="5">
      <formula>4</formula>
    </cfRule>
    <cfRule type="cellIs" priority="291" operator="equal" aboveAverage="0" equalAverage="0" bottom="0" percent="0" rank="0" text="" dxfId="6">
      <formula>5</formula>
    </cfRule>
  </conditionalFormatting>
  <conditionalFormatting sqref="F46">
    <cfRule type="cellIs" priority="292" operator="equal" aboveAverage="0" equalAverage="0" bottom="0" percent="0" rank="0" text="" dxfId="0">
      <formula>1</formula>
    </cfRule>
    <cfRule type="cellIs" priority="293" operator="equal" aboveAverage="0" equalAverage="0" bottom="0" percent="0" rank="0" text="" dxfId="3">
      <formula>2</formula>
    </cfRule>
    <cfRule type="cellIs" priority="294" operator="equal" aboveAverage="0" equalAverage="0" bottom="0" percent="0" rank="0" text="" dxfId="4">
      <formula>3</formula>
    </cfRule>
    <cfRule type="cellIs" priority="295" operator="equal" aboveAverage="0" equalAverage="0" bottom="0" percent="0" rank="0" text="" dxfId="5">
      <formula>4</formula>
    </cfRule>
    <cfRule type="cellIs" priority="296" operator="equal" aboveAverage="0" equalAverage="0" bottom="0" percent="0" rank="0" text="" dxfId="6">
      <formula>5</formula>
    </cfRule>
  </conditionalFormatting>
  <conditionalFormatting sqref="C47">
    <cfRule type="cellIs" priority="297" operator="equal" aboveAverage="0" equalAverage="0" bottom="0" percent="0" rank="0" text="" dxfId="0">
      <formula>1</formula>
    </cfRule>
    <cfRule type="cellIs" priority="298" operator="equal" aboveAverage="0" equalAverage="0" bottom="0" percent="0" rank="0" text="" dxfId="3">
      <formula>2</formula>
    </cfRule>
    <cfRule type="cellIs" priority="299" operator="equal" aboveAverage="0" equalAverage="0" bottom="0" percent="0" rank="0" text="" dxfId="4">
      <formula>3</formula>
    </cfRule>
    <cfRule type="cellIs" priority="300" operator="equal" aboveAverage="0" equalAverage="0" bottom="0" percent="0" rank="0" text="" dxfId="5">
      <formula>4</formula>
    </cfRule>
    <cfRule type="cellIs" priority="301" operator="equal" aboveAverage="0" equalAverage="0" bottom="0" percent="0" rank="0" text="" dxfId="6">
      <formula>5</formula>
    </cfRule>
  </conditionalFormatting>
  <conditionalFormatting sqref="D47">
    <cfRule type="cellIs" priority="302" operator="equal" aboveAverage="0" equalAverage="0" bottom="0" percent="0" rank="0" text="" dxfId="0">
      <formula>1</formula>
    </cfRule>
    <cfRule type="cellIs" priority="303" operator="equal" aboveAverage="0" equalAverage="0" bottom="0" percent="0" rank="0" text="" dxfId="3">
      <formula>2</formula>
    </cfRule>
    <cfRule type="cellIs" priority="304" operator="equal" aboveAverage="0" equalAverage="0" bottom="0" percent="0" rank="0" text="" dxfId="4">
      <formula>3</formula>
    </cfRule>
    <cfRule type="cellIs" priority="305" operator="equal" aboveAverage="0" equalAverage="0" bottom="0" percent="0" rank="0" text="" dxfId="5">
      <formula>4</formula>
    </cfRule>
    <cfRule type="cellIs" priority="306" operator="equal" aboveAverage="0" equalAverage="0" bottom="0" percent="0" rank="0" text="" dxfId="6">
      <formula>5</formula>
    </cfRule>
  </conditionalFormatting>
  <conditionalFormatting sqref="E47">
    <cfRule type="cellIs" priority="307" operator="equal" aboveAverage="0" equalAverage="0" bottom="0" percent="0" rank="0" text="" dxfId="0">
      <formula>1</formula>
    </cfRule>
    <cfRule type="cellIs" priority="308" operator="equal" aboveAverage="0" equalAverage="0" bottom="0" percent="0" rank="0" text="" dxfId="3">
      <formula>2</formula>
    </cfRule>
    <cfRule type="cellIs" priority="309" operator="equal" aboveAverage="0" equalAverage="0" bottom="0" percent="0" rank="0" text="" dxfId="4">
      <formula>3</formula>
    </cfRule>
    <cfRule type="cellIs" priority="310" operator="equal" aboveAverage="0" equalAverage="0" bottom="0" percent="0" rank="0" text="" dxfId="5">
      <formula>4</formula>
    </cfRule>
    <cfRule type="cellIs" priority="311" operator="equal" aboveAverage="0" equalAverage="0" bottom="0" percent="0" rank="0" text="" dxfId="6">
      <formula>5</formula>
    </cfRule>
  </conditionalFormatting>
  <conditionalFormatting sqref="F47">
    <cfRule type="cellIs" priority="312" operator="equal" aboveAverage="0" equalAverage="0" bottom="0" percent="0" rank="0" text="" dxfId="0">
      <formula>1</formula>
    </cfRule>
    <cfRule type="cellIs" priority="313" operator="equal" aboveAverage="0" equalAverage="0" bottom="0" percent="0" rank="0" text="" dxfId="3">
      <formula>2</formula>
    </cfRule>
    <cfRule type="cellIs" priority="314" operator="equal" aboveAverage="0" equalAverage="0" bottom="0" percent="0" rank="0" text="" dxfId="4">
      <formula>3</formula>
    </cfRule>
    <cfRule type="cellIs" priority="315" operator="equal" aboveAverage="0" equalAverage="0" bottom="0" percent="0" rank="0" text="" dxfId="5">
      <formula>4</formula>
    </cfRule>
    <cfRule type="cellIs" priority="316" operator="equal" aboveAverage="0" equalAverage="0" bottom="0" percent="0" rank="0" text="" dxfId="6">
      <formula>5</formula>
    </cfRule>
  </conditionalFormatting>
  <conditionalFormatting sqref="C48">
    <cfRule type="cellIs" priority="317" operator="equal" aboveAverage="0" equalAverage="0" bottom="0" percent="0" rank="0" text="" dxfId="0">
      <formula>1</formula>
    </cfRule>
    <cfRule type="cellIs" priority="318" operator="equal" aboveAverage="0" equalAverage="0" bottom="0" percent="0" rank="0" text="" dxfId="3">
      <formula>2</formula>
    </cfRule>
    <cfRule type="cellIs" priority="319" operator="equal" aboveAverage="0" equalAverage="0" bottom="0" percent="0" rank="0" text="" dxfId="4">
      <formula>3</formula>
    </cfRule>
    <cfRule type="cellIs" priority="320" operator="equal" aboveAverage="0" equalAverage="0" bottom="0" percent="0" rank="0" text="" dxfId="5">
      <formula>4</formula>
    </cfRule>
    <cfRule type="cellIs" priority="321" operator="equal" aboveAverage="0" equalAverage="0" bottom="0" percent="0" rank="0" text="" dxfId="6">
      <formula>5</formula>
    </cfRule>
  </conditionalFormatting>
  <conditionalFormatting sqref="D48">
    <cfRule type="cellIs" priority="322" operator="equal" aboveAverage="0" equalAverage="0" bottom="0" percent="0" rank="0" text="" dxfId="0">
      <formula>1</formula>
    </cfRule>
    <cfRule type="cellIs" priority="323" operator="equal" aboveAverage="0" equalAverage="0" bottom="0" percent="0" rank="0" text="" dxfId="3">
      <formula>2</formula>
    </cfRule>
    <cfRule type="cellIs" priority="324" operator="equal" aboveAverage="0" equalAverage="0" bottom="0" percent="0" rank="0" text="" dxfId="4">
      <formula>3</formula>
    </cfRule>
    <cfRule type="cellIs" priority="325" operator="equal" aboveAverage="0" equalAverage="0" bottom="0" percent="0" rank="0" text="" dxfId="5">
      <formula>4</formula>
    </cfRule>
    <cfRule type="cellIs" priority="326" operator="equal" aboveAverage="0" equalAverage="0" bottom="0" percent="0" rank="0" text="" dxfId="6">
      <formula>5</formula>
    </cfRule>
  </conditionalFormatting>
  <conditionalFormatting sqref="E48">
    <cfRule type="cellIs" priority="327" operator="equal" aboveAverage="0" equalAverage="0" bottom="0" percent="0" rank="0" text="" dxfId="0">
      <formula>1</formula>
    </cfRule>
    <cfRule type="cellIs" priority="328" operator="equal" aboveAverage="0" equalAverage="0" bottom="0" percent="0" rank="0" text="" dxfId="3">
      <formula>2</formula>
    </cfRule>
    <cfRule type="cellIs" priority="329" operator="equal" aboveAverage="0" equalAverage="0" bottom="0" percent="0" rank="0" text="" dxfId="4">
      <formula>3</formula>
    </cfRule>
    <cfRule type="cellIs" priority="330" operator="equal" aboveAverage="0" equalAverage="0" bottom="0" percent="0" rank="0" text="" dxfId="5">
      <formula>4</formula>
    </cfRule>
    <cfRule type="cellIs" priority="331" operator="equal" aboveAverage="0" equalAverage="0" bottom="0" percent="0" rank="0" text="" dxfId="6">
      <formula>5</formula>
    </cfRule>
  </conditionalFormatting>
  <conditionalFormatting sqref="F48">
    <cfRule type="cellIs" priority="332" operator="equal" aboveAverage="0" equalAverage="0" bottom="0" percent="0" rank="0" text="" dxfId="0">
      <formula>1</formula>
    </cfRule>
    <cfRule type="cellIs" priority="333" operator="equal" aboveAverage="0" equalAverage="0" bottom="0" percent="0" rank="0" text="" dxfId="3">
      <formula>2</formula>
    </cfRule>
    <cfRule type="cellIs" priority="334" operator="equal" aboveAverage="0" equalAverage="0" bottom="0" percent="0" rank="0" text="" dxfId="4">
      <formula>3</formula>
    </cfRule>
    <cfRule type="cellIs" priority="335" operator="equal" aboveAverage="0" equalAverage="0" bottom="0" percent="0" rank="0" text="" dxfId="5">
      <formula>4</formula>
    </cfRule>
    <cfRule type="cellIs" priority="336" operator="equal" aboveAverage="0" equalAverage="0" bottom="0" percent="0" rank="0" text="" dxfId="6">
      <formula>5</formula>
    </cfRule>
  </conditionalFormatting>
  <conditionalFormatting sqref="C49">
    <cfRule type="cellIs" priority="337" operator="equal" aboveAverage="0" equalAverage="0" bottom="0" percent="0" rank="0" text="" dxfId="0">
      <formula>1</formula>
    </cfRule>
    <cfRule type="cellIs" priority="338" operator="equal" aboveAverage="0" equalAverage="0" bottom="0" percent="0" rank="0" text="" dxfId="3">
      <formula>2</formula>
    </cfRule>
    <cfRule type="cellIs" priority="339" operator="equal" aboveAverage="0" equalAverage="0" bottom="0" percent="0" rank="0" text="" dxfId="4">
      <formula>3</formula>
    </cfRule>
    <cfRule type="cellIs" priority="340" operator="equal" aboveAverage="0" equalAverage="0" bottom="0" percent="0" rank="0" text="" dxfId="5">
      <formula>4</formula>
    </cfRule>
    <cfRule type="cellIs" priority="341" operator="equal" aboveAverage="0" equalAverage="0" bottom="0" percent="0" rank="0" text="" dxfId="6">
      <formula>5</formula>
    </cfRule>
  </conditionalFormatting>
  <conditionalFormatting sqref="D49">
    <cfRule type="cellIs" priority="342" operator="equal" aboveAverage="0" equalAverage="0" bottom="0" percent="0" rank="0" text="" dxfId="0">
      <formula>1</formula>
    </cfRule>
    <cfRule type="cellIs" priority="343" operator="equal" aboveAverage="0" equalAverage="0" bottom="0" percent="0" rank="0" text="" dxfId="3">
      <formula>2</formula>
    </cfRule>
    <cfRule type="cellIs" priority="344" operator="equal" aboveAverage="0" equalAverage="0" bottom="0" percent="0" rank="0" text="" dxfId="4">
      <formula>3</formula>
    </cfRule>
    <cfRule type="cellIs" priority="345" operator="equal" aboveAverage="0" equalAverage="0" bottom="0" percent="0" rank="0" text="" dxfId="5">
      <formula>4</formula>
    </cfRule>
    <cfRule type="cellIs" priority="346" operator="equal" aboveAverage="0" equalAverage="0" bottom="0" percent="0" rank="0" text="" dxfId="6">
      <formula>5</formula>
    </cfRule>
  </conditionalFormatting>
  <conditionalFormatting sqref="E49">
    <cfRule type="cellIs" priority="347" operator="equal" aboveAverage="0" equalAverage="0" bottom="0" percent="0" rank="0" text="" dxfId="0">
      <formula>1</formula>
    </cfRule>
    <cfRule type="cellIs" priority="348" operator="equal" aboveAverage="0" equalAverage="0" bottom="0" percent="0" rank="0" text="" dxfId="3">
      <formula>2</formula>
    </cfRule>
    <cfRule type="cellIs" priority="349" operator="equal" aboveAverage="0" equalAverage="0" bottom="0" percent="0" rank="0" text="" dxfId="4">
      <formula>3</formula>
    </cfRule>
    <cfRule type="cellIs" priority="350" operator="equal" aboveAverage="0" equalAverage="0" bottom="0" percent="0" rank="0" text="" dxfId="5">
      <formula>4</formula>
    </cfRule>
    <cfRule type="cellIs" priority="351" operator="equal" aboveAverage="0" equalAverage="0" bottom="0" percent="0" rank="0" text="" dxfId="6">
      <formula>5</formula>
    </cfRule>
  </conditionalFormatting>
  <conditionalFormatting sqref="F49">
    <cfRule type="cellIs" priority="352" operator="equal" aboveAverage="0" equalAverage="0" bottom="0" percent="0" rank="0" text="" dxfId="0">
      <formula>1</formula>
    </cfRule>
    <cfRule type="cellIs" priority="353" operator="equal" aboveAverage="0" equalAverage="0" bottom="0" percent="0" rank="0" text="" dxfId="3">
      <formula>2</formula>
    </cfRule>
    <cfRule type="cellIs" priority="354" operator="equal" aboveAverage="0" equalAverage="0" bottom="0" percent="0" rank="0" text="" dxfId="4">
      <formula>3</formula>
    </cfRule>
    <cfRule type="cellIs" priority="355" operator="equal" aboveAverage="0" equalAverage="0" bottom="0" percent="0" rank="0" text="" dxfId="5">
      <formula>4</formula>
    </cfRule>
    <cfRule type="cellIs" priority="356" operator="equal" aboveAverage="0" equalAverage="0" bottom="0" percent="0" rank="0" text="" dxfId="6">
      <formula>5</formula>
    </cfRule>
  </conditionalFormatting>
  <conditionalFormatting sqref="C50">
    <cfRule type="cellIs" priority="357" operator="equal" aboveAverage="0" equalAverage="0" bottom="0" percent="0" rank="0" text="" dxfId="0">
      <formula>1</formula>
    </cfRule>
    <cfRule type="cellIs" priority="358" operator="equal" aboveAverage="0" equalAverage="0" bottom="0" percent="0" rank="0" text="" dxfId="3">
      <formula>2</formula>
    </cfRule>
    <cfRule type="cellIs" priority="359" operator="equal" aboveAverage="0" equalAverage="0" bottom="0" percent="0" rank="0" text="" dxfId="4">
      <formula>3</formula>
    </cfRule>
    <cfRule type="cellIs" priority="360" operator="equal" aboveAverage="0" equalAverage="0" bottom="0" percent="0" rank="0" text="" dxfId="5">
      <formula>4</formula>
    </cfRule>
    <cfRule type="cellIs" priority="361" operator="equal" aboveAverage="0" equalAverage="0" bottom="0" percent="0" rank="0" text="" dxfId="6">
      <formula>5</formula>
    </cfRule>
  </conditionalFormatting>
  <conditionalFormatting sqref="D50">
    <cfRule type="cellIs" priority="362" operator="equal" aboveAverage="0" equalAverage="0" bottom="0" percent="0" rank="0" text="" dxfId="0">
      <formula>1</formula>
    </cfRule>
    <cfRule type="cellIs" priority="363" operator="equal" aboveAverage="0" equalAverage="0" bottom="0" percent="0" rank="0" text="" dxfId="3">
      <formula>2</formula>
    </cfRule>
    <cfRule type="cellIs" priority="364" operator="equal" aboveAverage="0" equalAverage="0" bottom="0" percent="0" rank="0" text="" dxfId="4">
      <formula>3</formula>
    </cfRule>
    <cfRule type="cellIs" priority="365" operator="equal" aboveAverage="0" equalAverage="0" bottom="0" percent="0" rank="0" text="" dxfId="5">
      <formula>4</formula>
    </cfRule>
    <cfRule type="cellIs" priority="366" operator="equal" aboveAverage="0" equalAverage="0" bottom="0" percent="0" rank="0" text="" dxfId="6">
      <formula>5</formula>
    </cfRule>
  </conditionalFormatting>
  <conditionalFormatting sqref="E50">
    <cfRule type="cellIs" priority="367" operator="equal" aboveAverage="0" equalAverage="0" bottom="0" percent="0" rank="0" text="" dxfId="0">
      <formula>1</formula>
    </cfRule>
    <cfRule type="cellIs" priority="368" operator="equal" aboveAverage="0" equalAverage="0" bottom="0" percent="0" rank="0" text="" dxfId="3">
      <formula>2</formula>
    </cfRule>
    <cfRule type="cellIs" priority="369" operator="equal" aboveAverage="0" equalAverage="0" bottom="0" percent="0" rank="0" text="" dxfId="4">
      <formula>3</formula>
    </cfRule>
    <cfRule type="cellIs" priority="370" operator="equal" aboveAverage="0" equalAverage="0" bottom="0" percent="0" rank="0" text="" dxfId="5">
      <formula>4</formula>
    </cfRule>
    <cfRule type="cellIs" priority="371" operator="equal" aboveAverage="0" equalAverage="0" bottom="0" percent="0" rank="0" text="" dxfId="6">
      <formula>5</formula>
    </cfRule>
  </conditionalFormatting>
  <conditionalFormatting sqref="F50">
    <cfRule type="cellIs" priority="372" operator="equal" aboveAverage="0" equalAverage="0" bottom="0" percent="0" rank="0" text="" dxfId="0">
      <formula>1</formula>
    </cfRule>
    <cfRule type="cellIs" priority="373" operator="equal" aboveAverage="0" equalAverage="0" bottom="0" percent="0" rank="0" text="" dxfId="3">
      <formula>2</formula>
    </cfRule>
    <cfRule type="cellIs" priority="374" operator="equal" aboveAverage="0" equalAverage="0" bottom="0" percent="0" rank="0" text="" dxfId="4">
      <formula>3</formula>
    </cfRule>
    <cfRule type="cellIs" priority="375" operator="equal" aboveAverage="0" equalAverage="0" bottom="0" percent="0" rank="0" text="" dxfId="5">
      <formula>4</formula>
    </cfRule>
    <cfRule type="cellIs" priority="376" operator="equal" aboveAverage="0" equalAverage="0" bottom="0" percent="0" rank="0" text="" dxfId="6">
      <formula>5</formula>
    </cfRule>
  </conditionalFormatting>
  <conditionalFormatting sqref="C55">
    <cfRule type="cellIs" priority="377" operator="equal" aboveAverage="0" equalAverage="0" bottom="0" percent="0" rank="0" text="" dxfId="0">
      <formula>1</formula>
    </cfRule>
    <cfRule type="cellIs" priority="378" operator="equal" aboveAverage="0" equalAverage="0" bottom="0" percent="0" rank="0" text="" dxfId="3">
      <formula>2</formula>
    </cfRule>
    <cfRule type="cellIs" priority="379" operator="equal" aboveAverage="0" equalAverage="0" bottom="0" percent="0" rank="0" text="" dxfId="4">
      <formula>3</formula>
    </cfRule>
    <cfRule type="cellIs" priority="380" operator="equal" aboveAverage="0" equalAverage="0" bottom="0" percent="0" rank="0" text="" dxfId="5">
      <formula>4</formula>
    </cfRule>
    <cfRule type="cellIs" priority="381" operator="equal" aboveAverage="0" equalAverage="0" bottom="0" percent="0" rank="0" text="" dxfId="6">
      <formula>5</formula>
    </cfRule>
  </conditionalFormatting>
  <conditionalFormatting sqref="D55">
    <cfRule type="cellIs" priority="382" operator="equal" aboveAverage="0" equalAverage="0" bottom="0" percent="0" rank="0" text="" dxfId="0">
      <formula>1</formula>
    </cfRule>
    <cfRule type="cellIs" priority="383" operator="equal" aboveAverage="0" equalAverage="0" bottom="0" percent="0" rank="0" text="" dxfId="3">
      <formula>2</formula>
    </cfRule>
    <cfRule type="cellIs" priority="384" operator="equal" aboveAverage="0" equalAverage="0" bottom="0" percent="0" rank="0" text="" dxfId="4">
      <formula>3</formula>
    </cfRule>
    <cfRule type="cellIs" priority="385" operator="equal" aboveAverage="0" equalAverage="0" bottom="0" percent="0" rank="0" text="" dxfId="5">
      <formula>4</formula>
    </cfRule>
    <cfRule type="cellIs" priority="386" operator="equal" aboveAverage="0" equalAverage="0" bottom="0" percent="0" rank="0" text="" dxfId="6">
      <formula>5</formula>
    </cfRule>
  </conditionalFormatting>
  <conditionalFormatting sqref="E55">
    <cfRule type="cellIs" priority="387" operator="equal" aboveAverage="0" equalAverage="0" bottom="0" percent="0" rank="0" text="" dxfId="0">
      <formula>1</formula>
    </cfRule>
    <cfRule type="cellIs" priority="388" operator="equal" aboveAverage="0" equalAverage="0" bottom="0" percent="0" rank="0" text="" dxfId="3">
      <formula>2</formula>
    </cfRule>
    <cfRule type="cellIs" priority="389" operator="equal" aboveAverage="0" equalAverage="0" bottom="0" percent="0" rank="0" text="" dxfId="4">
      <formula>3</formula>
    </cfRule>
    <cfRule type="cellIs" priority="390" operator="equal" aboveAverage="0" equalAverage="0" bottom="0" percent="0" rank="0" text="" dxfId="5">
      <formula>4</formula>
    </cfRule>
    <cfRule type="cellIs" priority="391" operator="equal" aboveAverage="0" equalAverage="0" bottom="0" percent="0" rank="0" text="" dxfId="6">
      <formula>5</formula>
    </cfRule>
  </conditionalFormatting>
  <conditionalFormatting sqref="F55">
    <cfRule type="cellIs" priority="392" operator="equal" aboveAverage="0" equalAverage="0" bottom="0" percent="0" rank="0" text="" dxfId="0">
      <formula>1</formula>
    </cfRule>
    <cfRule type="cellIs" priority="393" operator="equal" aboveAverage="0" equalAverage="0" bottom="0" percent="0" rank="0" text="" dxfId="3">
      <formula>2</formula>
    </cfRule>
    <cfRule type="cellIs" priority="394" operator="equal" aboveAverage="0" equalAverage="0" bottom="0" percent="0" rank="0" text="" dxfId="4">
      <formula>3</formula>
    </cfRule>
    <cfRule type="cellIs" priority="395" operator="equal" aboveAverage="0" equalAverage="0" bottom="0" percent="0" rank="0" text="" dxfId="5">
      <formula>4</formula>
    </cfRule>
    <cfRule type="cellIs" priority="396" operator="equal" aboveAverage="0" equalAverage="0" bottom="0" percent="0" rank="0" text="" dxfId="6">
      <formula>5</formula>
    </cfRule>
  </conditionalFormatting>
  <conditionalFormatting sqref="C56">
    <cfRule type="cellIs" priority="397" operator="equal" aboveAverage="0" equalAverage="0" bottom="0" percent="0" rank="0" text="" dxfId="0">
      <formula>1</formula>
    </cfRule>
    <cfRule type="cellIs" priority="398" operator="equal" aboveAverage="0" equalAverage="0" bottom="0" percent="0" rank="0" text="" dxfId="3">
      <formula>2</formula>
    </cfRule>
    <cfRule type="cellIs" priority="399" operator="equal" aboveAverage="0" equalAverage="0" bottom="0" percent="0" rank="0" text="" dxfId="4">
      <formula>3</formula>
    </cfRule>
    <cfRule type="cellIs" priority="400" operator="equal" aboveAverage="0" equalAverage="0" bottom="0" percent="0" rank="0" text="" dxfId="5">
      <formula>4</formula>
    </cfRule>
    <cfRule type="cellIs" priority="401" operator="equal" aboveAverage="0" equalAverage="0" bottom="0" percent="0" rank="0" text="" dxfId="6">
      <formula>5</formula>
    </cfRule>
  </conditionalFormatting>
  <conditionalFormatting sqref="D56">
    <cfRule type="cellIs" priority="402" operator="equal" aboveAverage="0" equalAverage="0" bottom="0" percent="0" rank="0" text="" dxfId="0">
      <formula>1</formula>
    </cfRule>
    <cfRule type="cellIs" priority="403" operator="equal" aboveAverage="0" equalAverage="0" bottom="0" percent="0" rank="0" text="" dxfId="3">
      <formula>2</formula>
    </cfRule>
    <cfRule type="cellIs" priority="404" operator="equal" aboveAverage="0" equalAverage="0" bottom="0" percent="0" rank="0" text="" dxfId="4">
      <formula>3</formula>
    </cfRule>
    <cfRule type="cellIs" priority="405" operator="equal" aboveAverage="0" equalAverage="0" bottom="0" percent="0" rank="0" text="" dxfId="5">
      <formula>4</formula>
    </cfRule>
    <cfRule type="cellIs" priority="406" operator="equal" aboveAverage="0" equalAverage="0" bottom="0" percent="0" rank="0" text="" dxfId="6">
      <formula>5</formula>
    </cfRule>
  </conditionalFormatting>
  <conditionalFormatting sqref="E56">
    <cfRule type="cellIs" priority="407" operator="equal" aboveAverage="0" equalAverage="0" bottom="0" percent="0" rank="0" text="" dxfId="0">
      <formula>1</formula>
    </cfRule>
    <cfRule type="cellIs" priority="408" operator="equal" aboveAverage="0" equalAverage="0" bottom="0" percent="0" rank="0" text="" dxfId="3">
      <formula>2</formula>
    </cfRule>
    <cfRule type="cellIs" priority="409" operator="equal" aboveAverage="0" equalAverage="0" bottom="0" percent="0" rank="0" text="" dxfId="4">
      <formula>3</formula>
    </cfRule>
    <cfRule type="cellIs" priority="410" operator="equal" aboveAverage="0" equalAverage="0" bottom="0" percent="0" rank="0" text="" dxfId="5">
      <formula>4</formula>
    </cfRule>
    <cfRule type="cellIs" priority="411" operator="equal" aboveAverage="0" equalAverage="0" bottom="0" percent="0" rank="0" text="" dxfId="6">
      <formula>5</formula>
    </cfRule>
  </conditionalFormatting>
  <conditionalFormatting sqref="F56">
    <cfRule type="cellIs" priority="412" operator="equal" aboveAverage="0" equalAverage="0" bottom="0" percent="0" rank="0" text="" dxfId="0">
      <formula>1</formula>
    </cfRule>
    <cfRule type="cellIs" priority="413" operator="equal" aboveAverage="0" equalAverage="0" bottom="0" percent="0" rank="0" text="" dxfId="3">
      <formula>2</formula>
    </cfRule>
    <cfRule type="cellIs" priority="414" operator="equal" aboveAverage="0" equalAverage="0" bottom="0" percent="0" rank="0" text="" dxfId="4">
      <formula>3</formula>
    </cfRule>
    <cfRule type="cellIs" priority="415" operator="equal" aboveAverage="0" equalAverage="0" bottom="0" percent="0" rank="0" text="" dxfId="5">
      <formula>4</formula>
    </cfRule>
    <cfRule type="cellIs" priority="416" operator="equal" aboveAverage="0" equalAverage="0" bottom="0" percent="0" rank="0" text="" dxfId="6">
      <formula>5</formula>
    </cfRule>
  </conditionalFormatting>
  <conditionalFormatting sqref="C57">
    <cfRule type="cellIs" priority="417" operator="equal" aboveAverage="0" equalAverage="0" bottom="0" percent="0" rank="0" text="" dxfId="0">
      <formula>1</formula>
    </cfRule>
    <cfRule type="cellIs" priority="418" operator="equal" aboveAverage="0" equalAverage="0" bottom="0" percent="0" rank="0" text="" dxfId="3">
      <formula>2</formula>
    </cfRule>
    <cfRule type="cellIs" priority="419" operator="equal" aboveAverage="0" equalAverage="0" bottom="0" percent="0" rank="0" text="" dxfId="4">
      <formula>3</formula>
    </cfRule>
    <cfRule type="cellIs" priority="420" operator="equal" aboveAverage="0" equalAverage="0" bottom="0" percent="0" rank="0" text="" dxfId="5">
      <formula>4</formula>
    </cfRule>
    <cfRule type="cellIs" priority="421" operator="equal" aboveAverage="0" equalAverage="0" bottom="0" percent="0" rank="0" text="" dxfId="6">
      <formula>5</formula>
    </cfRule>
  </conditionalFormatting>
  <conditionalFormatting sqref="D57">
    <cfRule type="cellIs" priority="422" operator="equal" aboveAverage="0" equalAverage="0" bottom="0" percent="0" rank="0" text="" dxfId="0">
      <formula>1</formula>
    </cfRule>
    <cfRule type="cellIs" priority="423" operator="equal" aboveAverage="0" equalAverage="0" bottom="0" percent="0" rank="0" text="" dxfId="3">
      <formula>2</formula>
    </cfRule>
    <cfRule type="cellIs" priority="424" operator="equal" aboveAverage="0" equalAverage="0" bottom="0" percent="0" rank="0" text="" dxfId="4">
      <formula>3</formula>
    </cfRule>
    <cfRule type="cellIs" priority="425" operator="equal" aboveAverage="0" equalAverage="0" bottom="0" percent="0" rank="0" text="" dxfId="5">
      <formula>4</formula>
    </cfRule>
    <cfRule type="cellIs" priority="426" operator="equal" aboveAverage="0" equalAverage="0" bottom="0" percent="0" rank="0" text="" dxfId="6">
      <formula>5</formula>
    </cfRule>
  </conditionalFormatting>
  <conditionalFormatting sqref="E57">
    <cfRule type="cellIs" priority="427" operator="equal" aboveAverage="0" equalAverage="0" bottom="0" percent="0" rank="0" text="" dxfId="0">
      <formula>1</formula>
    </cfRule>
    <cfRule type="cellIs" priority="428" operator="equal" aboveAverage="0" equalAverage="0" bottom="0" percent="0" rank="0" text="" dxfId="3">
      <formula>2</formula>
    </cfRule>
    <cfRule type="cellIs" priority="429" operator="equal" aboveAverage="0" equalAverage="0" bottom="0" percent="0" rank="0" text="" dxfId="4">
      <formula>3</formula>
    </cfRule>
    <cfRule type="cellIs" priority="430" operator="equal" aboveAverage="0" equalAverage="0" bottom="0" percent="0" rank="0" text="" dxfId="5">
      <formula>4</formula>
    </cfRule>
    <cfRule type="cellIs" priority="431" operator="equal" aboveAverage="0" equalAverage="0" bottom="0" percent="0" rank="0" text="" dxfId="6">
      <formula>5</formula>
    </cfRule>
  </conditionalFormatting>
  <conditionalFormatting sqref="F57">
    <cfRule type="cellIs" priority="432" operator="equal" aboveAverage="0" equalAverage="0" bottom="0" percent="0" rank="0" text="" dxfId="0">
      <formula>1</formula>
    </cfRule>
    <cfRule type="cellIs" priority="433" operator="equal" aboveAverage="0" equalAverage="0" bottom="0" percent="0" rank="0" text="" dxfId="3">
      <formula>2</formula>
    </cfRule>
    <cfRule type="cellIs" priority="434" operator="equal" aboveAverage="0" equalAverage="0" bottom="0" percent="0" rank="0" text="" dxfId="4">
      <formula>3</formula>
    </cfRule>
    <cfRule type="cellIs" priority="435" operator="equal" aboveAverage="0" equalAverage="0" bottom="0" percent="0" rank="0" text="" dxfId="5">
      <formula>4</formula>
    </cfRule>
    <cfRule type="cellIs" priority="436" operator="equal" aboveAverage="0" equalAverage="0" bottom="0" percent="0" rank="0" text="" dxfId="6">
      <formula>5</formula>
    </cfRule>
  </conditionalFormatting>
  <conditionalFormatting sqref="C58">
    <cfRule type="cellIs" priority="437" operator="equal" aboveAverage="0" equalAverage="0" bottom="0" percent="0" rank="0" text="" dxfId="0">
      <formula>1</formula>
    </cfRule>
    <cfRule type="cellIs" priority="438" operator="equal" aboveAverage="0" equalAverage="0" bottom="0" percent="0" rank="0" text="" dxfId="3">
      <formula>2</formula>
    </cfRule>
    <cfRule type="cellIs" priority="439" operator="equal" aboveAverage="0" equalAverage="0" bottom="0" percent="0" rank="0" text="" dxfId="4">
      <formula>3</formula>
    </cfRule>
    <cfRule type="cellIs" priority="440" operator="equal" aboveAverage="0" equalAverage="0" bottom="0" percent="0" rank="0" text="" dxfId="5">
      <formula>4</formula>
    </cfRule>
    <cfRule type="cellIs" priority="441" operator="equal" aboveAverage="0" equalAverage="0" bottom="0" percent="0" rank="0" text="" dxfId="6">
      <formula>5</formula>
    </cfRule>
  </conditionalFormatting>
  <conditionalFormatting sqref="D58">
    <cfRule type="cellIs" priority="442" operator="equal" aboveAverage="0" equalAverage="0" bottom="0" percent="0" rank="0" text="" dxfId="0">
      <formula>1</formula>
    </cfRule>
    <cfRule type="cellIs" priority="443" operator="equal" aboveAverage="0" equalAverage="0" bottom="0" percent="0" rank="0" text="" dxfId="3">
      <formula>2</formula>
    </cfRule>
    <cfRule type="cellIs" priority="444" operator="equal" aboveAverage="0" equalAverage="0" bottom="0" percent="0" rank="0" text="" dxfId="4">
      <formula>3</formula>
    </cfRule>
    <cfRule type="cellIs" priority="445" operator="equal" aboveAverage="0" equalAverage="0" bottom="0" percent="0" rank="0" text="" dxfId="5">
      <formula>4</formula>
    </cfRule>
    <cfRule type="cellIs" priority="446" operator="equal" aboveAverage="0" equalAverage="0" bottom="0" percent="0" rank="0" text="" dxfId="6">
      <formula>5</formula>
    </cfRule>
  </conditionalFormatting>
  <conditionalFormatting sqref="E58">
    <cfRule type="cellIs" priority="447" operator="equal" aboveAverage="0" equalAverage="0" bottom="0" percent="0" rank="0" text="" dxfId="0">
      <formula>1</formula>
    </cfRule>
    <cfRule type="cellIs" priority="448" operator="equal" aboveAverage="0" equalAverage="0" bottom="0" percent="0" rank="0" text="" dxfId="3">
      <formula>2</formula>
    </cfRule>
    <cfRule type="cellIs" priority="449" operator="equal" aboveAverage="0" equalAverage="0" bottom="0" percent="0" rank="0" text="" dxfId="4">
      <formula>3</formula>
    </cfRule>
    <cfRule type="cellIs" priority="450" operator="equal" aboveAverage="0" equalAverage="0" bottom="0" percent="0" rank="0" text="" dxfId="5">
      <formula>4</formula>
    </cfRule>
    <cfRule type="cellIs" priority="451" operator="equal" aboveAverage="0" equalAverage="0" bottom="0" percent="0" rank="0" text="" dxfId="6">
      <formula>5</formula>
    </cfRule>
  </conditionalFormatting>
  <conditionalFormatting sqref="F58">
    <cfRule type="cellIs" priority="452" operator="equal" aboveAverage="0" equalAverage="0" bottom="0" percent="0" rank="0" text="" dxfId="0">
      <formula>1</formula>
    </cfRule>
    <cfRule type="cellIs" priority="453" operator="equal" aboveAverage="0" equalAverage="0" bottom="0" percent="0" rank="0" text="" dxfId="3">
      <formula>2</formula>
    </cfRule>
    <cfRule type="cellIs" priority="454" operator="equal" aboveAverage="0" equalAverage="0" bottom="0" percent="0" rank="0" text="" dxfId="4">
      <formula>3</formula>
    </cfRule>
    <cfRule type="cellIs" priority="455" operator="equal" aboveAverage="0" equalAverage="0" bottom="0" percent="0" rank="0" text="" dxfId="5">
      <formula>4</formula>
    </cfRule>
    <cfRule type="cellIs" priority="456" operator="equal" aboveAverage="0" equalAverage="0" bottom="0" percent="0" rank="0" text="" dxfId="6">
      <formula>5</formula>
    </cfRule>
  </conditionalFormatting>
  <conditionalFormatting sqref="C59">
    <cfRule type="cellIs" priority="457" operator="equal" aboveAverage="0" equalAverage="0" bottom="0" percent="0" rank="0" text="" dxfId="0">
      <formula>1</formula>
    </cfRule>
    <cfRule type="cellIs" priority="458" operator="equal" aboveAverage="0" equalAverage="0" bottom="0" percent="0" rank="0" text="" dxfId="3">
      <formula>2</formula>
    </cfRule>
    <cfRule type="cellIs" priority="459" operator="equal" aboveAverage="0" equalAverage="0" bottom="0" percent="0" rank="0" text="" dxfId="4">
      <formula>3</formula>
    </cfRule>
    <cfRule type="cellIs" priority="460" operator="equal" aboveAverage="0" equalAverage="0" bottom="0" percent="0" rank="0" text="" dxfId="5">
      <formula>4</formula>
    </cfRule>
    <cfRule type="cellIs" priority="461" operator="equal" aboveAverage="0" equalAverage="0" bottom="0" percent="0" rank="0" text="" dxfId="6">
      <formula>5</formula>
    </cfRule>
  </conditionalFormatting>
  <conditionalFormatting sqref="D59">
    <cfRule type="cellIs" priority="462" operator="equal" aboveAverage="0" equalAverage="0" bottom="0" percent="0" rank="0" text="" dxfId="0">
      <formula>1</formula>
    </cfRule>
    <cfRule type="cellIs" priority="463" operator="equal" aboveAverage="0" equalAverage="0" bottom="0" percent="0" rank="0" text="" dxfId="3">
      <formula>2</formula>
    </cfRule>
    <cfRule type="cellIs" priority="464" operator="equal" aboveAverage="0" equalAverage="0" bottom="0" percent="0" rank="0" text="" dxfId="4">
      <formula>3</formula>
    </cfRule>
    <cfRule type="cellIs" priority="465" operator="equal" aboveAverage="0" equalAverage="0" bottom="0" percent="0" rank="0" text="" dxfId="5">
      <formula>4</formula>
    </cfRule>
    <cfRule type="cellIs" priority="466" operator="equal" aboveAverage="0" equalAverage="0" bottom="0" percent="0" rank="0" text="" dxfId="6">
      <formula>5</formula>
    </cfRule>
  </conditionalFormatting>
  <conditionalFormatting sqref="E59">
    <cfRule type="cellIs" priority="467" operator="equal" aboveAverage="0" equalAverage="0" bottom="0" percent="0" rank="0" text="" dxfId="0">
      <formula>1</formula>
    </cfRule>
    <cfRule type="cellIs" priority="468" operator="equal" aboveAverage="0" equalAverage="0" bottom="0" percent="0" rank="0" text="" dxfId="3">
      <formula>2</formula>
    </cfRule>
    <cfRule type="cellIs" priority="469" operator="equal" aboveAverage="0" equalAverage="0" bottom="0" percent="0" rank="0" text="" dxfId="4">
      <formula>3</formula>
    </cfRule>
    <cfRule type="cellIs" priority="470" operator="equal" aboveAverage="0" equalAverage="0" bottom="0" percent="0" rank="0" text="" dxfId="5">
      <formula>4</formula>
    </cfRule>
    <cfRule type="cellIs" priority="471" operator="equal" aboveAverage="0" equalAverage="0" bottom="0" percent="0" rank="0" text="" dxfId="6">
      <formula>5</formula>
    </cfRule>
  </conditionalFormatting>
  <conditionalFormatting sqref="F59">
    <cfRule type="cellIs" priority="472" operator="equal" aboveAverage="0" equalAverage="0" bottom="0" percent="0" rank="0" text="" dxfId="0">
      <formula>1</formula>
    </cfRule>
    <cfRule type="cellIs" priority="473" operator="equal" aboveAverage="0" equalAverage="0" bottom="0" percent="0" rank="0" text="" dxfId="3">
      <formula>2</formula>
    </cfRule>
    <cfRule type="cellIs" priority="474" operator="equal" aboveAverage="0" equalAverage="0" bottom="0" percent="0" rank="0" text="" dxfId="4">
      <formula>3</formula>
    </cfRule>
    <cfRule type="cellIs" priority="475" operator="equal" aboveAverage="0" equalAverage="0" bottom="0" percent="0" rank="0" text="" dxfId="5">
      <formula>4</formula>
    </cfRule>
    <cfRule type="cellIs" priority="476" operator="equal" aboveAverage="0" equalAverage="0" bottom="0" percent="0" rank="0" text="" dxfId="6">
      <formula>5</formula>
    </cfRule>
  </conditionalFormatting>
  <conditionalFormatting sqref="C60">
    <cfRule type="cellIs" priority="477" operator="equal" aboveAverage="0" equalAverage="0" bottom="0" percent="0" rank="0" text="" dxfId="0">
      <formula>1</formula>
    </cfRule>
    <cfRule type="cellIs" priority="478" operator="equal" aboveAverage="0" equalAverage="0" bottom="0" percent="0" rank="0" text="" dxfId="3">
      <formula>2</formula>
    </cfRule>
    <cfRule type="cellIs" priority="479" operator="equal" aboveAverage="0" equalAverage="0" bottom="0" percent="0" rank="0" text="" dxfId="4">
      <formula>3</formula>
    </cfRule>
    <cfRule type="cellIs" priority="480" operator="equal" aboveAverage="0" equalAverage="0" bottom="0" percent="0" rank="0" text="" dxfId="5">
      <formula>4</formula>
    </cfRule>
    <cfRule type="cellIs" priority="481" operator="equal" aboveAverage="0" equalAverage="0" bottom="0" percent="0" rank="0" text="" dxfId="6">
      <formula>5</formula>
    </cfRule>
  </conditionalFormatting>
  <conditionalFormatting sqref="D60">
    <cfRule type="cellIs" priority="482" operator="equal" aboveAverage="0" equalAverage="0" bottom="0" percent="0" rank="0" text="" dxfId="0">
      <formula>1</formula>
    </cfRule>
    <cfRule type="cellIs" priority="483" operator="equal" aboveAverage="0" equalAverage="0" bottom="0" percent="0" rank="0" text="" dxfId="3">
      <formula>2</formula>
    </cfRule>
    <cfRule type="cellIs" priority="484" operator="equal" aboveAverage="0" equalAverage="0" bottom="0" percent="0" rank="0" text="" dxfId="4">
      <formula>3</formula>
    </cfRule>
    <cfRule type="cellIs" priority="485" operator="equal" aboveAverage="0" equalAverage="0" bottom="0" percent="0" rank="0" text="" dxfId="5">
      <formula>4</formula>
    </cfRule>
    <cfRule type="cellIs" priority="486" operator="equal" aboveAverage="0" equalAverage="0" bottom="0" percent="0" rank="0" text="" dxfId="6">
      <formula>5</formula>
    </cfRule>
  </conditionalFormatting>
  <conditionalFormatting sqref="E60">
    <cfRule type="cellIs" priority="487" operator="equal" aboveAverage="0" equalAverage="0" bottom="0" percent="0" rank="0" text="" dxfId="0">
      <formula>1</formula>
    </cfRule>
    <cfRule type="cellIs" priority="488" operator="equal" aboveAverage="0" equalAverage="0" bottom="0" percent="0" rank="0" text="" dxfId="3">
      <formula>2</formula>
    </cfRule>
    <cfRule type="cellIs" priority="489" operator="equal" aboveAverage="0" equalAverage="0" bottom="0" percent="0" rank="0" text="" dxfId="4">
      <formula>3</formula>
    </cfRule>
    <cfRule type="cellIs" priority="490" operator="equal" aboveAverage="0" equalAverage="0" bottom="0" percent="0" rank="0" text="" dxfId="5">
      <formula>4</formula>
    </cfRule>
    <cfRule type="cellIs" priority="491" operator="equal" aboveAverage="0" equalAverage="0" bottom="0" percent="0" rank="0" text="" dxfId="6">
      <formula>5</formula>
    </cfRule>
  </conditionalFormatting>
  <conditionalFormatting sqref="F60">
    <cfRule type="cellIs" priority="492" operator="equal" aboveAverage="0" equalAverage="0" bottom="0" percent="0" rank="0" text="" dxfId="0">
      <formula>1</formula>
    </cfRule>
    <cfRule type="cellIs" priority="493" operator="equal" aboveAverage="0" equalAverage="0" bottom="0" percent="0" rank="0" text="" dxfId="3">
      <formula>2</formula>
    </cfRule>
    <cfRule type="cellIs" priority="494" operator="equal" aboveAverage="0" equalAverage="0" bottom="0" percent="0" rank="0" text="" dxfId="4">
      <formula>3</formula>
    </cfRule>
    <cfRule type="cellIs" priority="495" operator="equal" aboveAverage="0" equalAverage="0" bottom="0" percent="0" rank="0" text="" dxfId="5">
      <formula>4</formula>
    </cfRule>
    <cfRule type="cellIs" priority="496" operator="equal" aboveAverage="0" equalAverage="0" bottom="0" percent="0" rank="0" text="" dxfId="6">
      <formula>5</formula>
    </cfRule>
  </conditionalFormatting>
  <conditionalFormatting sqref="C61">
    <cfRule type="cellIs" priority="497" operator="equal" aboveAverage="0" equalAverage="0" bottom="0" percent="0" rank="0" text="" dxfId="0">
      <formula>1</formula>
    </cfRule>
    <cfRule type="cellIs" priority="498" operator="equal" aboveAverage="0" equalAverage="0" bottom="0" percent="0" rank="0" text="" dxfId="3">
      <formula>2</formula>
    </cfRule>
    <cfRule type="cellIs" priority="499" operator="equal" aboveAverage="0" equalAverage="0" bottom="0" percent="0" rank="0" text="" dxfId="4">
      <formula>3</formula>
    </cfRule>
    <cfRule type="cellIs" priority="500" operator="equal" aboveAverage="0" equalAverage="0" bottom="0" percent="0" rank="0" text="" dxfId="5">
      <formula>4</formula>
    </cfRule>
    <cfRule type="cellIs" priority="501" operator="equal" aboveAverage="0" equalAverage="0" bottom="0" percent="0" rank="0" text="" dxfId="6">
      <formula>5</formula>
    </cfRule>
  </conditionalFormatting>
  <conditionalFormatting sqref="D61">
    <cfRule type="cellIs" priority="502" operator="equal" aboveAverage="0" equalAverage="0" bottom="0" percent="0" rank="0" text="" dxfId="0">
      <formula>1</formula>
    </cfRule>
    <cfRule type="cellIs" priority="503" operator="equal" aboveAverage="0" equalAverage="0" bottom="0" percent="0" rank="0" text="" dxfId="3">
      <formula>2</formula>
    </cfRule>
    <cfRule type="cellIs" priority="504" operator="equal" aboveAverage="0" equalAverage="0" bottom="0" percent="0" rank="0" text="" dxfId="4">
      <formula>3</formula>
    </cfRule>
    <cfRule type="cellIs" priority="505" operator="equal" aboveAverage="0" equalAverage="0" bottom="0" percent="0" rank="0" text="" dxfId="5">
      <formula>4</formula>
    </cfRule>
    <cfRule type="cellIs" priority="506" operator="equal" aboveAverage="0" equalAverage="0" bottom="0" percent="0" rank="0" text="" dxfId="6">
      <formula>5</formula>
    </cfRule>
  </conditionalFormatting>
  <conditionalFormatting sqref="E61">
    <cfRule type="cellIs" priority="507" operator="equal" aboveAverage="0" equalAverage="0" bottom="0" percent="0" rank="0" text="" dxfId="0">
      <formula>1</formula>
    </cfRule>
    <cfRule type="cellIs" priority="508" operator="equal" aboveAverage="0" equalAverage="0" bottom="0" percent="0" rank="0" text="" dxfId="3">
      <formula>2</formula>
    </cfRule>
    <cfRule type="cellIs" priority="509" operator="equal" aboveAverage="0" equalAverage="0" bottom="0" percent="0" rank="0" text="" dxfId="4">
      <formula>3</formula>
    </cfRule>
    <cfRule type="cellIs" priority="510" operator="equal" aboveAverage="0" equalAverage="0" bottom="0" percent="0" rank="0" text="" dxfId="5">
      <formula>4</formula>
    </cfRule>
    <cfRule type="cellIs" priority="511" operator="equal" aboveAverage="0" equalAverage="0" bottom="0" percent="0" rank="0" text="" dxfId="6">
      <formula>5</formula>
    </cfRule>
  </conditionalFormatting>
  <conditionalFormatting sqref="F61">
    <cfRule type="cellIs" priority="512" operator="equal" aboveAverage="0" equalAverage="0" bottom="0" percent="0" rank="0" text="" dxfId="0">
      <formula>1</formula>
    </cfRule>
    <cfRule type="cellIs" priority="513" operator="equal" aboveAverage="0" equalAverage="0" bottom="0" percent="0" rank="0" text="" dxfId="3">
      <formula>2</formula>
    </cfRule>
    <cfRule type="cellIs" priority="514" operator="equal" aboveAverage="0" equalAverage="0" bottom="0" percent="0" rank="0" text="" dxfId="4">
      <formula>3</formula>
    </cfRule>
    <cfRule type="cellIs" priority="515" operator="equal" aboveAverage="0" equalAverage="0" bottom="0" percent="0" rank="0" text="" dxfId="5">
      <formula>4</formula>
    </cfRule>
    <cfRule type="cellIs" priority="516" operator="equal" aboveAverage="0" equalAverage="0" bottom="0" percent="0" rank="0" text="" dxfId="6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8" min="5" style="0" width="30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" t="s">
        <v>190</v>
      </c>
    </row>
    <row r="6" customFormat="false" ht="21.75" hidden="false" customHeight="true" outlineLevel="0" collapsed="false">
      <c r="B6" s="7" t="s">
        <v>20</v>
      </c>
      <c r="C6" s="7" t="s">
        <v>21</v>
      </c>
      <c r="D6" s="7" t="s">
        <v>22</v>
      </c>
      <c r="E6" s="7" t="s">
        <v>23</v>
      </c>
      <c r="F6" s="7"/>
      <c r="G6" s="7"/>
      <c r="H6" s="7"/>
    </row>
    <row r="7" customFormat="false" ht="36" hidden="false" customHeight="true" outlineLevel="0" collapsed="false">
      <c r="B7" s="8" t="n">
        <v>1</v>
      </c>
      <c r="C7" s="9" t="s">
        <v>24</v>
      </c>
      <c r="D7" s="9" t="s">
        <v>191</v>
      </c>
      <c r="E7" s="69" t="s">
        <v>192</v>
      </c>
      <c r="F7" s="69"/>
      <c r="G7" s="69"/>
      <c r="H7" s="69"/>
    </row>
    <row r="8" customFormat="false" ht="36" hidden="false" customHeight="true" outlineLevel="0" collapsed="false">
      <c r="B8" s="11" t="n">
        <v>2</v>
      </c>
      <c r="C8" s="9" t="s">
        <v>26</v>
      </c>
      <c r="D8" s="9" t="s">
        <v>193</v>
      </c>
      <c r="E8" s="69" t="s">
        <v>194</v>
      </c>
      <c r="F8" s="69"/>
      <c r="G8" s="69"/>
      <c r="H8" s="69"/>
    </row>
    <row r="9" customFormat="false" ht="36" hidden="false" customHeight="true" outlineLevel="0" collapsed="false">
      <c r="B9" s="12" t="n">
        <v>3</v>
      </c>
      <c r="C9" s="9" t="s">
        <v>28</v>
      </c>
      <c r="D9" s="9" t="s">
        <v>195</v>
      </c>
      <c r="E9" s="69" t="s">
        <v>196</v>
      </c>
      <c r="F9" s="69"/>
      <c r="G9" s="69"/>
      <c r="H9" s="69"/>
    </row>
    <row r="10" customFormat="false" ht="36" hidden="false" customHeight="true" outlineLevel="0" collapsed="false">
      <c r="B10" s="13" t="n">
        <v>4</v>
      </c>
      <c r="C10" s="9" t="s">
        <v>30</v>
      </c>
      <c r="D10" s="9" t="s">
        <v>32</v>
      </c>
      <c r="E10" s="69" t="s">
        <v>197</v>
      </c>
      <c r="F10" s="69"/>
      <c r="G10" s="69"/>
      <c r="H10" s="69"/>
    </row>
    <row r="11" customFormat="false" ht="36" hidden="false" customHeight="true" outlineLevel="0" collapsed="false">
      <c r="B11" s="14" t="n">
        <v>5</v>
      </c>
      <c r="C11" s="9" t="s">
        <v>32</v>
      </c>
      <c r="D11" s="9" t="s">
        <v>198</v>
      </c>
      <c r="E11" s="69" t="s">
        <v>199</v>
      </c>
      <c r="F11" s="69"/>
      <c r="G11" s="69"/>
      <c r="H11" s="69"/>
    </row>
    <row r="14" customFormat="false" ht="18" hidden="false" customHeight="true" outlineLevel="0" collapsed="false">
      <c r="B14" s="1" t="s">
        <v>200</v>
      </c>
    </row>
    <row r="15" customFormat="false" ht="24" hidden="false" customHeight="true" outlineLevel="0" collapsed="false">
      <c r="B15" s="15" t="s">
        <v>201</v>
      </c>
      <c r="C15" s="15"/>
      <c r="D15" s="15"/>
      <c r="E15" s="15"/>
      <c r="F15" s="15"/>
      <c r="G15" s="15"/>
      <c r="H15" s="15"/>
    </row>
    <row r="17" customFormat="false" ht="25.5" hidden="false" customHeight="true" outlineLevel="0" collapsed="false">
      <c r="B17" s="60" t="s">
        <v>75</v>
      </c>
      <c r="C17" s="60"/>
      <c r="D17" s="60"/>
      <c r="E17" s="60"/>
      <c r="F17" s="60"/>
      <c r="G17" s="60"/>
      <c r="H17" s="60"/>
    </row>
    <row r="18" customFormat="false" ht="21.75" hidden="false" customHeight="true" outlineLevel="0" collapsed="false">
      <c r="B18" s="7" t="s">
        <v>77</v>
      </c>
      <c r="C18" s="7" t="s">
        <v>202</v>
      </c>
      <c r="D18" s="7" t="s">
        <v>203</v>
      </c>
      <c r="E18" s="7" t="s">
        <v>204</v>
      </c>
      <c r="F18" s="7" t="s">
        <v>205</v>
      </c>
      <c r="G18" s="7" t="s">
        <v>206</v>
      </c>
      <c r="H18" s="70"/>
    </row>
    <row r="19" customFormat="false" ht="49.5" hidden="false" customHeight="true" outlineLevel="0" collapsed="false">
      <c r="B19" s="71" t="s">
        <v>207</v>
      </c>
      <c r="C19" s="72" t="s">
        <v>208</v>
      </c>
      <c r="D19" s="73" t="s">
        <v>209</v>
      </c>
      <c r="E19" s="74" t="s">
        <v>210</v>
      </c>
      <c r="F19" s="75" t="s">
        <v>211</v>
      </c>
      <c r="G19" s="76" t="s">
        <v>212</v>
      </c>
      <c r="H19" s="77"/>
    </row>
    <row r="20" customFormat="false" ht="49.5" hidden="false" customHeight="true" outlineLevel="0" collapsed="false">
      <c r="B20" s="71" t="s">
        <v>213</v>
      </c>
      <c r="C20" s="72" t="s">
        <v>214</v>
      </c>
      <c r="D20" s="73" t="s">
        <v>215</v>
      </c>
      <c r="E20" s="74" t="s">
        <v>216</v>
      </c>
      <c r="F20" s="75" t="s">
        <v>217</v>
      </c>
      <c r="G20" s="76" t="s">
        <v>218</v>
      </c>
      <c r="H20" s="77"/>
    </row>
    <row r="21" customFormat="false" ht="49.5" hidden="false" customHeight="true" outlineLevel="0" collapsed="false">
      <c r="B21" s="78" t="s">
        <v>219</v>
      </c>
      <c r="C21" s="72" t="s">
        <v>220</v>
      </c>
      <c r="D21" s="73" t="s">
        <v>221</v>
      </c>
      <c r="E21" s="74" t="s">
        <v>222</v>
      </c>
      <c r="F21" s="75" t="s">
        <v>223</v>
      </c>
      <c r="G21" s="76" t="s">
        <v>224</v>
      </c>
      <c r="H21" s="77"/>
    </row>
    <row r="22" customFormat="false" ht="49.5" hidden="false" customHeight="true" outlineLevel="0" collapsed="false">
      <c r="B22" s="78" t="s">
        <v>225</v>
      </c>
      <c r="C22" s="72" t="s">
        <v>226</v>
      </c>
      <c r="D22" s="73" t="s">
        <v>227</v>
      </c>
      <c r="E22" s="74" t="s">
        <v>228</v>
      </c>
      <c r="F22" s="75" t="s">
        <v>229</v>
      </c>
      <c r="G22" s="76" t="s">
        <v>230</v>
      </c>
      <c r="H22" s="77"/>
    </row>
    <row r="23" customFormat="false" ht="49.5" hidden="false" customHeight="true" outlineLevel="0" collapsed="false">
      <c r="B23" s="11" t="s">
        <v>231</v>
      </c>
      <c r="C23" s="72" t="s">
        <v>232</v>
      </c>
      <c r="D23" s="73" t="s">
        <v>233</v>
      </c>
      <c r="E23" s="74" t="s">
        <v>234</v>
      </c>
      <c r="F23" s="75" t="s">
        <v>235</v>
      </c>
      <c r="G23" s="76" t="s">
        <v>236</v>
      </c>
      <c r="H23" s="77"/>
    </row>
    <row r="24" customFormat="false" ht="49.5" hidden="false" customHeight="true" outlineLevel="0" collapsed="false">
      <c r="B24" s="11" t="s">
        <v>237</v>
      </c>
      <c r="C24" s="72" t="s">
        <v>238</v>
      </c>
      <c r="D24" s="73" t="s">
        <v>239</v>
      </c>
      <c r="E24" s="74" t="s">
        <v>240</v>
      </c>
      <c r="F24" s="75" t="s">
        <v>241</v>
      </c>
      <c r="G24" s="76" t="s">
        <v>242</v>
      </c>
      <c r="H24" s="77"/>
    </row>
    <row r="25" customFormat="false" ht="49.5" hidden="false" customHeight="true" outlineLevel="0" collapsed="false">
      <c r="B25" s="11" t="s">
        <v>243</v>
      </c>
      <c r="C25" s="72" t="s">
        <v>244</v>
      </c>
      <c r="D25" s="73" t="s">
        <v>245</v>
      </c>
      <c r="E25" s="74" t="s">
        <v>246</v>
      </c>
      <c r="F25" s="75" t="s">
        <v>247</v>
      </c>
      <c r="G25" s="76" t="s">
        <v>248</v>
      </c>
      <c r="H25" s="77"/>
    </row>
    <row r="27" customFormat="false" ht="25.5" hidden="false" customHeight="true" outlineLevel="0" collapsed="false">
      <c r="B27" s="65" t="s">
        <v>106</v>
      </c>
      <c r="C27" s="65"/>
      <c r="D27" s="65"/>
      <c r="E27" s="65"/>
      <c r="F27" s="65"/>
      <c r="G27" s="65"/>
      <c r="H27" s="65"/>
    </row>
    <row r="28" customFormat="false" ht="21.75" hidden="false" customHeight="true" outlineLevel="0" collapsed="false">
      <c r="B28" s="7" t="s">
        <v>108</v>
      </c>
      <c r="C28" s="7" t="s">
        <v>249</v>
      </c>
      <c r="D28" s="7" t="s">
        <v>202</v>
      </c>
      <c r="E28" s="7" t="s">
        <v>203</v>
      </c>
      <c r="F28" s="7" t="s">
        <v>204</v>
      </c>
      <c r="G28" s="7" t="s">
        <v>205</v>
      </c>
      <c r="H28" s="7" t="s">
        <v>206</v>
      </c>
    </row>
    <row r="29" customFormat="false" ht="43.5" hidden="false" customHeight="true" outlineLevel="0" collapsed="false">
      <c r="B29" s="79" t="s">
        <v>250</v>
      </c>
      <c r="C29" s="51" t="s">
        <v>109</v>
      </c>
      <c r="D29" s="72" t="s">
        <v>251</v>
      </c>
      <c r="E29" s="73" t="s">
        <v>252</v>
      </c>
      <c r="F29" s="74" t="s">
        <v>253</v>
      </c>
      <c r="G29" s="75" t="s">
        <v>254</v>
      </c>
      <c r="H29" s="76" t="s">
        <v>255</v>
      </c>
    </row>
    <row r="30" customFormat="false" ht="43.5" hidden="false" customHeight="true" outlineLevel="0" collapsed="false">
      <c r="B30" s="79"/>
      <c r="C30" s="55" t="s">
        <v>110</v>
      </c>
      <c r="D30" s="72" t="s">
        <v>256</v>
      </c>
      <c r="E30" s="73" t="s">
        <v>257</v>
      </c>
      <c r="F30" s="74" t="s">
        <v>258</v>
      </c>
      <c r="G30" s="75" t="s">
        <v>259</v>
      </c>
      <c r="H30" s="76" t="s">
        <v>260</v>
      </c>
    </row>
    <row r="31" customFormat="false" ht="43.5" hidden="false" customHeight="true" outlineLevel="0" collapsed="false">
      <c r="B31" s="79"/>
      <c r="C31" s="56" t="s">
        <v>111</v>
      </c>
      <c r="D31" s="72" t="s">
        <v>261</v>
      </c>
      <c r="E31" s="73" t="s">
        <v>262</v>
      </c>
      <c r="F31" s="74" t="s">
        <v>263</v>
      </c>
      <c r="G31" s="75" t="s">
        <v>264</v>
      </c>
      <c r="H31" s="76" t="s">
        <v>265</v>
      </c>
    </row>
    <row r="32" customFormat="false" ht="43.5" hidden="false" customHeight="true" outlineLevel="0" collapsed="false">
      <c r="B32" s="79"/>
      <c r="C32" s="57" t="s">
        <v>112</v>
      </c>
      <c r="D32" s="72" t="s">
        <v>266</v>
      </c>
      <c r="E32" s="73" t="s">
        <v>267</v>
      </c>
      <c r="F32" s="74" t="s">
        <v>268</v>
      </c>
      <c r="G32" s="75" t="s">
        <v>269</v>
      </c>
      <c r="H32" s="76" t="s">
        <v>270</v>
      </c>
    </row>
    <row r="33" customFormat="false" ht="43.5" hidden="false" customHeight="true" outlineLevel="0" collapsed="false">
      <c r="B33" s="79" t="s">
        <v>271</v>
      </c>
      <c r="C33" s="51" t="s">
        <v>109</v>
      </c>
      <c r="D33" s="72" t="s">
        <v>272</v>
      </c>
      <c r="E33" s="73" t="s">
        <v>273</v>
      </c>
      <c r="F33" s="74" t="s">
        <v>274</v>
      </c>
      <c r="G33" s="75" t="s">
        <v>275</v>
      </c>
      <c r="H33" s="76" t="s">
        <v>276</v>
      </c>
    </row>
    <row r="34" customFormat="false" ht="43.5" hidden="false" customHeight="true" outlineLevel="0" collapsed="false">
      <c r="B34" s="79"/>
      <c r="C34" s="55" t="s">
        <v>110</v>
      </c>
      <c r="D34" s="72" t="s">
        <v>277</v>
      </c>
      <c r="E34" s="73" t="s">
        <v>278</v>
      </c>
      <c r="F34" s="74" t="s">
        <v>279</v>
      </c>
      <c r="G34" s="75" t="s">
        <v>280</v>
      </c>
      <c r="H34" s="76" t="s">
        <v>281</v>
      </c>
    </row>
    <row r="35" customFormat="false" ht="43.5" hidden="false" customHeight="true" outlineLevel="0" collapsed="false">
      <c r="B35" s="79"/>
      <c r="C35" s="56" t="s">
        <v>111</v>
      </c>
      <c r="D35" s="72" t="s">
        <v>282</v>
      </c>
      <c r="E35" s="73" t="s">
        <v>283</v>
      </c>
      <c r="F35" s="74" t="s">
        <v>284</v>
      </c>
      <c r="G35" s="75" t="s">
        <v>285</v>
      </c>
      <c r="H35" s="76" t="s">
        <v>286</v>
      </c>
    </row>
    <row r="36" customFormat="false" ht="43.5" hidden="false" customHeight="true" outlineLevel="0" collapsed="false">
      <c r="B36" s="79"/>
      <c r="C36" s="57" t="s">
        <v>112</v>
      </c>
      <c r="D36" s="72" t="s">
        <v>287</v>
      </c>
      <c r="E36" s="73" t="s">
        <v>288</v>
      </c>
      <c r="F36" s="74" t="s">
        <v>289</v>
      </c>
      <c r="G36" s="75" t="s">
        <v>290</v>
      </c>
      <c r="H36" s="76" t="s">
        <v>291</v>
      </c>
    </row>
    <row r="37" customFormat="false" ht="43.5" hidden="false" customHeight="true" outlineLevel="0" collapsed="false">
      <c r="B37" s="80" t="s">
        <v>292</v>
      </c>
      <c r="C37" s="51" t="s">
        <v>109</v>
      </c>
      <c r="D37" s="72" t="s">
        <v>293</v>
      </c>
      <c r="E37" s="73" t="s">
        <v>294</v>
      </c>
      <c r="F37" s="74" t="s">
        <v>295</v>
      </c>
      <c r="G37" s="75" t="s">
        <v>296</v>
      </c>
      <c r="H37" s="76" t="s">
        <v>297</v>
      </c>
    </row>
    <row r="38" customFormat="false" ht="43.5" hidden="false" customHeight="true" outlineLevel="0" collapsed="false">
      <c r="B38" s="80"/>
      <c r="C38" s="55" t="s">
        <v>110</v>
      </c>
      <c r="D38" s="72" t="s">
        <v>298</v>
      </c>
      <c r="E38" s="73" t="s">
        <v>299</v>
      </c>
      <c r="F38" s="74" t="s">
        <v>300</v>
      </c>
      <c r="G38" s="75" t="s">
        <v>301</v>
      </c>
      <c r="H38" s="76" t="s">
        <v>302</v>
      </c>
    </row>
    <row r="39" customFormat="false" ht="43.5" hidden="false" customHeight="true" outlineLevel="0" collapsed="false">
      <c r="B39" s="80"/>
      <c r="C39" s="56" t="s">
        <v>111</v>
      </c>
      <c r="D39" s="72" t="s">
        <v>303</v>
      </c>
      <c r="E39" s="73" t="s">
        <v>304</v>
      </c>
      <c r="F39" s="74" t="s">
        <v>305</v>
      </c>
      <c r="G39" s="75" t="s">
        <v>306</v>
      </c>
      <c r="H39" s="76" t="s">
        <v>307</v>
      </c>
    </row>
    <row r="40" customFormat="false" ht="43.5" hidden="false" customHeight="true" outlineLevel="0" collapsed="false">
      <c r="B40" s="80"/>
      <c r="C40" s="57" t="s">
        <v>112</v>
      </c>
      <c r="D40" s="72" t="s">
        <v>308</v>
      </c>
      <c r="E40" s="73" t="s">
        <v>309</v>
      </c>
      <c r="F40" s="74" t="s">
        <v>310</v>
      </c>
      <c r="G40" s="75" t="s">
        <v>311</v>
      </c>
      <c r="H40" s="76" t="s">
        <v>312</v>
      </c>
    </row>
    <row r="41" customFormat="false" ht="43.5" hidden="false" customHeight="true" outlineLevel="0" collapsed="false">
      <c r="B41" s="80" t="s">
        <v>313</v>
      </c>
      <c r="C41" s="51" t="s">
        <v>109</v>
      </c>
      <c r="D41" s="72" t="s">
        <v>314</v>
      </c>
      <c r="E41" s="73" t="s">
        <v>315</v>
      </c>
      <c r="F41" s="74" t="s">
        <v>316</v>
      </c>
      <c r="G41" s="75" t="s">
        <v>317</v>
      </c>
      <c r="H41" s="76" t="s">
        <v>318</v>
      </c>
    </row>
    <row r="42" customFormat="false" ht="43.5" hidden="false" customHeight="true" outlineLevel="0" collapsed="false">
      <c r="B42" s="80"/>
      <c r="C42" s="55" t="s">
        <v>110</v>
      </c>
      <c r="D42" s="72" t="s">
        <v>319</v>
      </c>
      <c r="E42" s="73" t="s">
        <v>320</v>
      </c>
      <c r="F42" s="74" t="s">
        <v>321</v>
      </c>
      <c r="G42" s="75" t="s">
        <v>322</v>
      </c>
      <c r="H42" s="76" t="s">
        <v>323</v>
      </c>
    </row>
    <row r="43" customFormat="false" ht="43.5" hidden="false" customHeight="true" outlineLevel="0" collapsed="false">
      <c r="B43" s="80"/>
      <c r="C43" s="56" t="s">
        <v>111</v>
      </c>
      <c r="D43" s="72" t="s">
        <v>324</v>
      </c>
      <c r="E43" s="73" t="s">
        <v>325</v>
      </c>
      <c r="F43" s="74" t="s">
        <v>326</v>
      </c>
      <c r="G43" s="75" t="s">
        <v>327</v>
      </c>
      <c r="H43" s="76" t="s">
        <v>328</v>
      </c>
    </row>
    <row r="44" customFormat="false" ht="43.5" hidden="false" customHeight="true" outlineLevel="0" collapsed="false">
      <c r="B44" s="80"/>
      <c r="C44" s="57" t="s">
        <v>112</v>
      </c>
      <c r="D44" s="72" t="s">
        <v>329</v>
      </c>
      <c r="E44" s="73" t="s">
        <v>330</v>
      </c>
      <c r="F44" s="74" t="s">
        <v>331</v>
      </c>
      <c r="G44" s="75" t="s">
        <v>332</v>
      </c>
      <c r="H44" s="76" t="s">
        <v>333</v>
      </c>
    </row>
    <row r="45" customFormat="false" ht="43.5" hidden="false" customHeight="true" outlineLevel="0" collapsed="false">
      <c r="B45" s="80" t="s">
        <v>334</v>
      </c>
      <c r="C45" s="51" t="s">
        <v>109</v>
      </c>
      <c r="D45" s="72" t="s">
        <v>335</v>
      </c>
      <c r="E45" s="73" t="s">
        <v>336</v>
      </c>
      <c r="F45" s="74" t="s">
        <v>337</v>
      </c>
      <c r="G45" s="75" t="s">
        <v>338</v>
      </c>
      <c r="H45" s="76" t="s">
        <v>339</v>
      </c>
    </row>
    <row r="46" customFormat="false" ht="43.5" hidden="false" customHeight="true" outlineLevel="0" collapsed="false">
      <c r="B46" s="80"/>
      <c r="C46" s="55" t="s">
        <v>110</v>
      </c>
      <c r="D46" s="72" t="s">
        <v>340</v>
      </c>
      <c r="E46" s="73" t="s">
        <v>341</v>
      </c>
      <c r="F46" s="74" t="s">
        <v>342</v>
      </c>
      <c r="G46" s="75" t="s">
        <v>343</v>
      </c>
      <c r="H46" s="76" t="s">
        <v>344</v>
      </c>
    </row>
    <row r="47" customFormat="false" ht="43.5" hidden="false" customHeight="true" outlineLevel="0" collapsed="false">
      <c r="B47" s="80"/>
      <c r="C47" s="56" t="s">
        <v>111</v>
      </c>
      <c r="D47" s="72" t="s">
        <v>345</v>
      </c>
      <c r="E47" s="73" t="s">
        <v>346</v>
      </c>
      <c r="F47" s="74" t="s">
        <v>347</v>
      </c>
      <c r="G47" s="75" t="s">
        <v>348</v>
      </c>
      <c r="H47" s="76" t="s">
        <v>349</v>
      </c>
    </row>
    <row r="48" customFormat="false" ht="43.5" hidden="false" customHeight="true" outlineLevel="0" collapsed="false">
      <c r="B48" s="80"/>
      <c r="C48" s="57" t="s">
        <v>112</v>
      </c>
      <c r="D48" s="72" t="s">
        <v>350</v>
      </c>
      <c r="E48" s="73" t="s">
        <v>351</v>
      </c>
      <c r="F48" s="74" t="s">
        <v>352</v>
      </c>
      <c r="G48" s="75" t="s">
        <v>353</v>
      </c>
      <c r="H48" s="76" t="s">
        <v>354</v>
      </c>
    </row>
    <row r="49" customFormat="false" ht="43.5" hidden="false" customHeight="true" outlineLevel="0" collapsed="false">
      <c r="B49" s="81" t="s">
        <v>355</v>
      </c>
      <c r="C49" s="51" t="s">
        <v>109</v>
      </c>
      <c r="D49" s="72" t="s">
        <v>356</v>
      </c>
      <c r="E49" s="73" t="s">
        <v>357</v>
      </c>
      <c r="F49" s="74" t="s">
        <v>358</v>
      </c>
      <c r="G49" s="75" t="s">
        <v>359</v>
      </c>
      <c r="H49" s="76" t="s">
        <v>360</v>
      </c>
    </row>
    <row r="50" customFormat="false" ht="43.5" hidden="false" customHeight="true" outlineLevel="0" collapsed="false">
      <c r="B50" s="81"/>
      <c r="C50" s="55" t="s">
        <v>110</v>
      </c>
      <c r="D50" s="72" t="s">
        <v>361</v>
      </c>
      <c r="E50" s="73" t="s">
        <v>362</v>
      </c>
      <c r="F50" s="74" t="s">
        <v>363</v>
      </c>
      <c r="G50" s="75" t="s">
        <v>364</v>
      </c>
      <c r="H50" s="76" t="s">
        <v>365</v>
      </c>
    </row>
    <row r="51" customFormat="false" ht="43.5" hidden="false" customHeight="true" outlineLevel="0" collapsed="false">
      <c r="B51" s="81"/>
      <c r="C51" s="56" t="s">
        <v>111</v>
      </c>
      <c r="D51" s="72" t="s">
        <v>366</v>
      </c>
      <c r="E51" s="73" t="s">
        <v>367</v>
      </c>
      <c r="F51" s="74" t="s">
        <v>368</v>
      </c>
      <c r="G51" s="75" t="s">
        <v>369</v>
      </c>
      <c r="H51" s="76" t="s">
        <v>370</v>
      </c>
    </row>
    <row r="52" customFormat="false" ht="43.5" hidden="false" customHeight="true" outlineLevel="0" collapsed="false">
      <c r="B52" s="81"/>
      <c r="C52" s="57" t="s">
        <v>112</v>
      </c>
      <c r="D52" s="72" t="s">
        <v>371</v>
      </c>
      <c r="E52" s="73" t="s">
        <v>372</v>
      </c>
      <c r="F52" s="74" t="s">
        <v>373</v>
      </c>
      <c r="G52" s="75" t="s">
        <v>374</v>
      </c>
      <c r="H52" s="76" t="s">
        <v>375</v>
      </c>
    </row>
    <row r="53" customFormat="false" ht="43.5" hidden="false" customHeight="true" outlineLevel="0" collapsed="false">
      <c r="B53" s="81" t="s">
        <v>376</v>
      </c>
      <c r="C53" s="51" t="s">
        <v>109</v>
      </c>
      <c r="D53" s="72" t="s">
        <v>377</v>
      </c>
      <c r="E53" s="73" t="s">
        <v>378</v>
      </c>
      <c r="F53" s="74" t="s">
        <v>379</v>
      </c>
      <c r="G53" s="75" t="s">
        <v>380</v>
      </c>
      <c r="H53" s="76" t="s">
        <v>381</v>
      </c>
    </row>
    <row r="54" customFormat="false" ht="43.5" hidden="false" customHeight="true" outlineLevel="0" collapsed="false">
      <c r="B54" s="81"/>
      <c r="C54" s="55" t="s">
        <v>110</v>
      </c>
      <c r="D54" s="72" t="s">
        <v>382</v>
      </c>
      <c r="E54" s="73" t="s">
        <v>383</v>
      </c>
      <c r="F54" s="74" t="s">
        <v>384</v>
      </c>
      <c r="G54" s="75" t="s">
        <v>385</v>
      </c>
      <c r="H54" s="76" t="s">
        <v>386</v>
      </c>
    </row>
    <row r="55" customFormat="false" ht="43.5" hidden="false" customHeight="true" outlineLevel="0" collapsed="false">
      <c r="B55" s="81"/>
      <c r="C55" s="56" t="s">
        <v>111</v>
      </c>
      <c r="D55" s="72" t="s">
        <v>387</v>
      </c>
      <c r="E55" s="73" t="s">
        <v>388</v>
      </c>
      <c r="F55" s="74" t="s">
        <v>389</v>
      </c>
      <c r="G55" s="75" t="s">
        <v>390</v>
      </c>
      <c r="H55" s="76" t="s">
        <v>391</v>
      </c>
    </row>
    <row r="56" customFormat="false" ht="43.5" hidden="false" customHeight="true" outlineLevel="0" collapsed="false">
      <c r="B56" s="81"/>
      <c r="C56" s="57" t="s">
        <v>112</v>
      </c>
      <c r="D56" s="72" t="s">
        <v>392</v>
      </c>
      <c r="E56" s="73" t="s">
        <v>393</v>
      </c>
      <c r="F56" s="74" t="s">
        <v>394</v>
      </c>
      <c r="G56" s="75" t="s">
        <v>395</v>
      </c>
      <c r="H56" s="76" t="s">
        <v>396</v>
      </c>
    </row>
    <row r="58" customFormat="false" ht="25.5" hidden="false" customHeight="true" outlineLevel="0" collapsed="false">
      <c r="B58" s="67" t="s">
        <v>139</v>
      </c>
      <c r="C58" s="67"/>
      <c r="D58" s="67"/>
      <c r="E58" s="67"/>
      <c r="F58" s="67"/>
      <c r="G58" s="67"/>
      <c r="H58" s="67"/>
    </row>
    <row r="59" customFormat="false" ht="21.75" hidden="false" customHeight="true" outlineLevel="0" collapsed="false">
      <c r="B59" s="7" t="s">
        <v>108</v>
      </c>
      <c r="C59" s="7" t="s">
        <v>249</v>
      </c>
      <c r="D59" s="7" t="s">
        <v>202</v>
      </c>
      <c r="E59" s="7" t="s">
        <v>203</v>
      </c>
      <c r="F59" s="7" t="s">
        <v>204</v>
      </c>
      <c r="G59" s="7" t="s">
        <v>205</v>
      </c>
      <c r="H59" s="7" t="s">
        <v>206</v>
      </c>
    </row>
    <row r="60" customFormat="false" ht="43.5" hidden="false" customHeight="true" outlineLevel="0" collapsed="false">
      <c r="B60" s="79" t="s">
        <v>250</v>
      </c>
      <c r="C60" s="51" t="s">
        <v>109</v>
      </c>
      <c r="D60" s="72" t="s">
        <v>397</v>
      </c>
      <c r="E60" s="73" t="s">
        <v>398</v>
      </c>
      <c r="F60" s="74" t="s">
        <v>399</v>
      </c>
      <c r="G60" s="75" t="s">
        <v>400</v>
      </c>
      <c r="H60" s="76" t="s">
        <v>401</v>
      </c>
    </row>
    <row r="61" customFormat="false" ht="43.5" hidden="false" customHeight="true" outlineLevel="0" collapsed="false">
      <c r="B61" s="79"/>
      <c r="C61" s="55" t="s">
        <v>110</v>
      </c>
      <c r="D61" s="72" t="s">
        <v>402</v>
      </c>
      <c r="E61" s="73" t="s">
        <v>403</v>
      </c>
      <c r="F61" s="74" t="s">
        <v>404</v>
      </c>
      <c r="G61" s="75" t="s">
        <v>405</v>
      </c>
      <c r="H61" s="76" t="s">
        <v>406</v>
      </c>
    </row>
    <row r="62" customFormat="false" ht="43.5" hidden="false" customHeight="true" outlineLevel="0" collapsed="false">
      <c r="B62" s="79"/>
      <c r="C62" s="56" t="s">
        <v>111</v>
      </c>
      <c r="D62" s="72" t="s">
        <v>407</v>
      </c>
      <c r="E62" s="73" t="s">
        <v>408</v>
      </c>
      <c r="F62" s="74" t="s">
        <v>409</v>
      </c>
      <c r="G62" s="75" t="s">
        <v>410</v>
      </c>
      <c r="H62" s="76" t="s">
        <v>411</v>
      </c>
    </row>
    <row r="63" customFormat="false" ht="43.5" hidden="false" customHeight="true" outlineLevel="0" collapsed="false">
      <c r="B63" s="79"/>
      <c r="C63" s="57" t="s">
        <v>112</v>
      </c>
      <c r="D63" s="72" t="s">
        <v>412</v>
      </c>
      <c r="E63" s="73" t="s">
        <v>413</v>
      </c>
      <c r="F63" s="74" t="s">
        <v>414</v>
      </c>
      <c r="G63" s="75" t="s">
        <v>415</v>
      </c>
      <c r="H63" s="76" t="s">
        <v>416</v>
      </c>
    </row>
    <row r="64" customFormat="false" ht="43.5" hidden="false" customHeight="true" outlineLevel="0" collapsed="false">
      <c r="B64" s="79" t="s">
        <v>271</v>
      </c>
      <c r="C64" s="51" t="s">
        <v>109</v>
      </c>
      <c r="D64" s="72" t="s">
        <v>417</v>
      </c>
      <c r="E64" s="73" t="s">
        <v>418</v>
      </c>
      <c r="F64" s="74" t="s">
        <v>419</v>
      </c>
      <c r="G64" s="75" t="s">
        <v>420</v>
      </c>
      <c r="H64" s="76" t="s">
        <v>421</v>
      </c>
    </row>
    <row r="65" customFormat="false" ht="43.5" hidden="false" customHeight="true" outlineLevel="0" collapsed="false">
      <c r="B65" s="79"/>
      <c r="C65" s="55" t="s">
        <v>110</v>
      </c>
      <c r="D65" s="72" t="s">
        <v>422</v>
      </c>
      <c r="E65" s="73" t="s">
        <v>423</v>
      </c>
      <c r="F65" s="74" t="s">
        <v>424</v>
      </c>
      <c r="G65" s="75" t="s">
        <v>425</v>
      </c>
      <c r="H65" s="76" t="s">
        <v>426</v>
      </c>
    </row>
    <row r="66" customFormat="false" ht="43.5" hidden="false" customHeight="true" outlineLevel="0" collapsed="false">
      <c r="B66" s="79"/>
      <c r="C66" s="56" t="s">
        <v>111</v>
      </c>
      <c r="D66" s="72" t="s">
        <v>427</v>
      </c>
      <c r="E66" s="73" t="s">
        <v>428</v>
      </c>
      <c r="F66" s="74" t="s">
        <v>429</v>
      </c>
      <c r="G66" s="75" t="s">
        <v>430</v>
      </c>
      <c r="H66" s="76" t="s">
        <v>431</v>
      </c>
    </row>
    <row r="67" customFormat="false" ht="43.5" hidden="false" customHeight="true" outlineLevel="0" collapsed="false">
      <c r="B67" s="79"/>
      <c r="C67" s="57" t="s">
        <v>112</v>
      </c>
      <c r="D67" s="72" t="s">
        <v>432</v>
      </c>
      <c r="E67" s="73" t="s">
        <v>433</v>
      </c>
      <c r="F67" s="74" t="s">
        <v>434</v>
      </c>
      <c r="G67" s="75" t="s">
        <v>435</v>
      </c>
      <c r="H67" s="76" t="s">
        <v>436</v>
      </c>
    </row>
    <row r="68" customFormat="false" ht="43.5" hidden="false" customHeight="true" outlineLevel="0" collapsed="false">
      <c r="B68" s="80" t="s">
        <v>292</v>
      </c>
      <c r="C68" s="51" t="s">
        <v>109</v>
      </c>
      <c r="D68" s="72" t="s">
        <v>437</v>
      </c>
      <c r="E68" s="73" t="s">
        <v>438</v>
      </c>
      <c r="F68" s="74" t="s">
        <v>439</v>
      </c>
      <c r="G68" s="75" t="s">
        <v>440</v>
      </c>
      <c r="H68" s="76" t="s">
        <v>441</v>
      </c>
    </row>
    <row r="69" customFormat="false" ht="43.5" hidden="false" customHeight="true" outlineLevel="0" collapsed="false">
      <c r="B69" s="80"/>
      <c r="C69" s="55" t="s">
        <v>110</v>
      </c>
      <c r="D69" s="72" t="s">
        <v>442</v>
      </c>
      <c r="E69" s="73" t="s">
        <v>443</v>
      </c>
      <c r="F69" s="74" t="s">
        <v>444</v>
      </c>
      <c r="G69" s="75" t="s">
        <v>445</v>
      </c>
      <c r="H69" s="76" t="s">
        <v>446</v>
      </c>
    </row>
    <row r="70" customFormat="false" ht="43.5" hidden="false" customHeight="true" outlineLevel="0" collapsed="false">
      <c r="B70" s="80"/>
      <c r="C70" s="56" t="s">
        <v>111</v>
      </c>
      <c r="D70" s="72" t="s">
        <v>447</v>
      </c>
      <c r="E70" s="73" t="s">
        <v>304</v>
      </c>
      <c r="F70" s="74" t="s">
        <v>448</v>
      </c>
      <c r="G70" s="75" t="s">
        <v>449</v>
      </c>
      <c r="H70" s="76" t="s">
        <v>307</v>
      </c>
    </row>
    <row r="71" customFormat="false" ht="43.5" hidden="false" customHeight="true" outlineLevel="0" collapsed="false">
      <c r="B71" s="80"/>
      <c r="C71" s="57" t="s">
        <v>112</v>
      </c>
      <c r="D71" s="72" t="s">
        <v>308</v>
      </c>
      <c r="E71" s="73" t="s">
        <v>309</v>
      </c>
      <c r="F71" s="74" t="s">
        <v>450</v>
      </c>
      <c r="G71" s="75" t="s">
        <v>311</v>
      </c>
      <c r="H71" s="76" t="s">
        <v>312</v>
      </c>
    </row>
    <row r="72" customFormat="false" ht="43.5" hidden="false" customHeight="true" outlineLevel="0" collapsed="false">
      <c r="B72" s="80" t="s">
        <v>313</v>
      </c>
      <c r="C72" s="51" t="s">
        <v>109</v>
      </c>
      <c r="D72" s="72" t="s">
        <v>451</v>
      </c>
      <c r="E72" s="73" t="s">
        <v>452</v>
      </c>
      <c r="F72" s="74" t="s">
        <v>453</v>
      </c>
      <c r="G72" s="75" t="s">
        <v>454</v>
      </c>
      <c r="H72" s="76" t="s">
        <v>318</v>
      </c>
    </row>
    <row r="73" customFormat="false" ht="43.5" hidden="false" customHeight="true" outlineLevel="0" collapsed="false">
      <c r="B73" s="80"/>
      <c r="C73" s="55" t="s">
        <v>110</v>
      </c>
      <c r="D73" s="72" t="s">
        <v>455</v>
      </c>
      <c r="E73" s="73" t="s">
        <v>320</v>
      </c>
      <c r="F73" s="74" t="s">
        <v>456</v>
      </c>
      <c r="G73" s="75" t="s">
        <v>457</v>
      </c>
      <c r="H73" s="76" t="s">
        <v>458</v>
      </c>
    </row>
    <row r="74" customFormat="false" ht="43.5" hidden="false" customHeight="true" outlineLevel="0" collapsed="false">
      <c r="B74" s="80"/>
      <c r="C74" s="56" t="s">
        <v>111</v>
      </c>
      <c r="D74" s="72" t="s">
        <v>459</v>
      </c>
      <c r="E74" s="73" t="s">
        <v>325</v>
      </c>
      <c r="F74" s="74" t="s">
        <v>460</v>
      </c>
      <c r="G74" s="75" t="s">
        <v>327</v>
      </c>
      <c r="H74" s="76" t="s">
        <v>461</v>
      </c>
    </row>
    <row r="75" customFormat="false" ht="43.5" hidden="false" customHeight="true" outlineLevel="0" collapsed="false">
      <c r="B75" s="80"/>
      <c r="C75" s="57" t="s">
        <v>112</v>
      </c>
      <c r="D75" s="72" t="s">
        <v>462</v>
      </c>
      <c r="E75" s="73" t="s">
        <v>330</v>
      </c>
      <c r="F75" s="74" t="s">
        <v>463</v>
      </c>
      <c r="G75" s="75" t="s">
        <v>332</v>
      </c>
      <c r="H75" s="76" t="s">
        <v>464</v>
      </c>
    </row>
    <row r="76" customFormat="false" ht="43.5" hidden="false" customHeight="true" outlineLevel="0" collapsed="false">
      <c r="B76" s="80" t="s">
        <v>334</v>
      </c>
      <c r="C76" s="51" t="s">
        <v>109</v>
      </c>
      <c r="D76" s="72" t="s">
        <v>465</v>
      </c>
      <c r="E76" s="73" t="s">
        <v>466</v>
      </c>
      <c r="F76" s="74" t="s">
        <v>467</v>
      </c>
      <c r="G76" s="75" t="s">
        <v>468</v>
      </c>
      <c r="H76" s="76" t="s">
        <v>469</v>
      </c>
    </row>
    <row r="77" customFormat="false" ht="43.5" hidden="false" customHeight="true" outlineLevel="0" collapsed="false">
      <c r="B77" s="80"/>
      <c r="C77" s="55" t="s">
        <v>110</v>
      </c>
      <c r="D77" s="72" t="s">
        <v>470</v>
      </c>
      <c r="E77" s="73" t="s">
        <v>471</v>
      </c>
      <c r="F77" s="74" t="s">
        <v>472</v>
      </c>
      <c r="G77" s="75" t="s">
        <v>473</v>
      </c>
      <c r="H77" s="76" t="s">
        <v>474</v>
      </c>
    </row>
    <row r="78" customFormat="false" ht="43.5" hidden="false" customHeight="true" outlineLevel="0" collapsed="false">
      <c r="B78" s="80"/>
      <c r="C78" s="56" t="s">
        <v>111</v>
      </c>
      <c r="D78" s="72" t="s">
        <v>475</v>
      </c>
      <c r="E78" s="73" t="s">
        <v>476</v>
      </c>
      <c r="F78" s="74" t="s">
        <v>477</v>
      </c>
      <c r="G78" s="75" t="s">
        <v>478</v>
      </c>
      <c r="H78" s="76" t="s">
        <v>479</v>
      </c>
    </row>
    <row r="79" customFormat="false" ht="43.5" hidden="false" customHeight="true" outlineLevel="0" collapsed="false">
      <c r="B79" s="80"/>
      <c r="C79" s="57" t="s">
        <v>112</v>
      </c>
      <c r="D79" s="72" t="s">
        <v>480</v>
      </c>
      <c r="E79" s="73" t="s">
        <v>481</v>
      </c>
      <c r="F79" s="74" t="s">
        <v>482</v>
      </c>
      <c r="G79" s="75" t="s">
        <v>483</v>
      </c>
      <c r="H79" s="76" t="s">
        <v>484</v>
      </c>
    </row>
    <row r="80" customFormat="false" ht="43.5" hidden="false" customHeight="true" outlineLevel="0" collapsed="false">
      <c r="B80" s="81" t="s">
        <v>355</v>
      </c>
      <c r="C80" s="51" t="s">
        <v>109</v>
      </c>
      <c r="D80" s="72" t="s">
        <v>485</v>
      </c>
      <c r="E80" s="73" t="s">
        <v>486</v>
      </c>
      <c r="F80" s="74" t="s">
        <v>487</v>
      </c>
      <c r="G80" s="75" t="s">
        <v>488</v>
      </c>
      <c r="H80" s="76" t="s">
        <v>489</v>
      </c>
    </row>
    <row r="81" customFormat="false" ht="43.5" hidden="false" customHeight="true" outlineLevel="0" collapsed="false">
      <c r="B81" s="81"/>
      <c r="C81" s="55" t="s">
        <v>110</v>
      </c>
      <c r="D81" s="72" t="s">
        <v>490</v>
      </c>
      <c r="E81" s="73" t="s">
        <v>491</v>
      </c>
      <c r="F81" s="74" t="s">
        <v>492</v>
      </c>
      <c r="G81" s="75" t="s">
        <v>493</v>
      </c>
      <c r="H81" s="76" t="s">
        <v>494</v>
      </c>
    </row>
    <row r="82" customFormat="false" ht="43.5" hidden="false" customHeight="true" outlineLevel="0" collapsed="false">
      <c r="B82" s="81"/>
      <c r="C82" s="56" t="s">
        <v>111</v>
      </c>
      <c r="D82" s="72" t="s">
        <v>495</v>
      </c>
      <c r="E82" s="73" t="s">
        <v>496</v>
      </c>
      <c r="F82" s="74" t="s">
        <v>497</v>
      </c>
      <c r="G82" s="75" t="s">
        <v>498</v>
      </c>
      <c r="H82" s="76" t="s">
        <v>499</v>
      </c>
    </row>
    <row r="83" customFormat="false" ht="43.5" hidden="false" customHeight="true" outlineLevel="0" collapsed="false">
      <c r="B83" s="81"/>
      <c r="C83" s="57" t="s">
        <v>112</v>
      </c>
      <c r="D83" s="72" t="s">
        <v>500</v>
      </c>
      <c r="E83" s="73" t="s">
        <v>372</v>
      </c>
      <c r="F83" s="74" t="s">
        <v>501</v>
      </c>
      <c r="G83" s="75" t="s">
        <v>502</v>
      </c>
      <c r="H83" s="76" t="s">
        <v>503</v>
      </c>
    </row>
    <row r="84" customFormat="false" ht="43.5" hidden="false" customHeight="true" outlineLevel="0" collapsed="false">
      <c r="B84" s="81" t="s">
        <v>376</v>
      </c>
      <c r="C84" s="51" t="s">
        <v>109</v>
      </c>
      <c r="D84" s="72" t="s">
        <v>504</v>
      </c>
      <c r="E84" s="73" t="s">
        <v>505</v>
      </c>
      <c r="F84" s="74" t="s">
        <v>506</v>
      </c>
      <c r="G84" s="75" t="s">
        <v>507</v>
      </c>
      <c r="H84" s="76" t="s">
        <v>508</v>
      </c>
    </row>
    <row r="85" customFormat="false" ht="43.5" hidden="false" customHeight="true" outlineLevel="0" collapsed="false">
      <c r="B85" s="81"/>
      <c r="C85" s="55" t="s">
        <v>110</v>
      </c>
      <c r="D85" s="72" t="s">
        <v>509</v>
      </c>
      <c r="E85" s="73" t="s">
        <v>510</v>
      </c>
      <c r="F85" s="74" t="s">
        <v>511</v>
      </c>
      <c r="G85" s="75" t="s">
        <v>512</v>
      </c>
      <c r="H85" s="76" t="s">
        <v>513</v>
      </c>
    </row>
    <row r="86" customFormat="false" ht="43.5" hidden="false" customHeight="true" outlineLevel="0" collapsed="false">
      <c r="B86" s="81"/>
      <c r="C86" s="56" t="s">
        <v>111</v>
      </c>
      <c r="D86" s="72" t="s">
        <v>514</v>
      </c>
      <c r="E86" s="73" t="s">
        <v>515</v>
      </c>
      <c r="F86" s="74" t="s">
        <v>516</v>
      </c>
      <c r="G86" s="75" t="s">
        <v>517</v>
      </c>
      <c r="H86" s="76" t="s">
        <v>518</v>
      </c>
    </row>
    <row r="87" customFormat="false" ht="43.5" hidden="false" customHeight="true" outlineLevel="0" collapsed="false">
      <c r="B87" s="81"/>
      <c r="C87" s="57" t="s">
        <v>112</v>
      </c>
      <c r="D87" s="72" t="s">
        <v>519</v>
      </c>
      <c r="E87" s="73" t="s">
        <v>520</v>
      </c>
      <c r="F87" s="74" t="s">
        <v>521</v>
      </c>
      <c r="G87" s="75" t="s">
        <v>522</v>
      </c>
      <c r="H87" s="76" t="s">
        <v>523</v>
      </c>
    </row>
    <row r="89" customFormat="false" ht="25.5" hidden="false" customHeight="true" outlineLevel="0" collapsed="false">
      <c r="B89" s="68" t="s">
        <v>148</v>
      </c>
      <c r="C89" s="68"/>
      <c r="D89" s="68"/>
      <c r="E89" s="68"/>
      <c r="F89" s="68"/>
      <c r="G89" s="68"/>
      <c r="H89" s="68"/>
    </row>
    <row r="90" customFormat="false" ht="21.75" hidden="false" customHeight="true" outlineLevel="0" collapsed="false">
      <c r="B90" s="7" t="s">
        <v>108</v>
      </c>
      <c r="C90" s="7" t="s">
        <v>249</v>
      </c>
      <c r="D90" s="7" t="s">
        <v>202</v>
      </c>
      <c r="E90" s="7" t="s">
        <v>203</v>
      </c>
      <c r="F90" s="7" t="s">
        <v>204</v>
      </c>
      <c r="G90" s="7" t="s">
        <v>205</v>
      </c>
      <c r="H90" s="7" t="s">
        <v>206</v>
      </c>
    </row>
    <row r="91" customFormat="false" ht="43.5" hidden="false" customHeight="true" outlineLevel="0" collapsed="false">
      <c r="B91" s="79" t="s">
        <v>250</v>
      </c>
      <c r="C91" s="51" t="s">
        <v>109</v>
      </c>
      <c r="D91" s="72" t="s">
        <v>524</v>
      </c>
      <c r="E91" s="73" t="s">
        <v>525</v>
      </c>
      <c r="F91" s="74" t="s">
        <v>526</v>
      </c>
      <c r="G91" s="75" t="s">
        <v>527</v>
      </c>
      <c r="H91" s="76" t="s">
        <v>528</v>
      </c>
    </row>
    <row r="92" customFormat="false" ht="43.5" hidden="false" customHeight="true" outlineLevel="0" collapsed="false">
      <c r="B92" s="79"/>
      <c r="C92" s="55" t="s">
        <v>110</v>
      </c>
      <c r="D92" s="72" t="s">
        <v>529</v>
      </c>
      <c r="E92" s="73" t="s">
        <v>530</v>
      </c>
      <c r="F92" s="74" t="s">
        <v>531</v>
      </c>
      <c r="G92" s="75" t="s">
        <v>532</v>
      </c>
      <c r="H92" s="76" t="s">
        <v>533</v>
      </c>
    </row>
    <row r="93" customFormat="false" ht="43.5" hidden="false" customHeight="true" outlineLevel="0" collapsed="false">
      <c r="B93" s="79"/>
      <c r="C93" s="56" t="s">
        <v>111</v>
      </c>
      <c r="D93" s="72" t="s">
        <v>534</v>
      </c>
      <c r="E93" s="73" t="s">
        <v>535</v>
      </c>
      <c r="F93" s="74" t="s">
        <v>536</v>
      </c>
      <c r="G93" s="75" t="s">
        <v>537</v>
      </c>
      <c r="H93" s="76" t="s">
        <v>538</v>
      </c>
    </row>
    <row r="94" customFormat="false" ht="43.5" hidden="false" customHeight="true" outlineLevel="0" collapsed="false">
      <c r="B94" s="79"/>
      <c r="C94" s="57" t="s">
        <v>112</v>
      </c>
      <c r="D94" s="72" t="s">
        <v>539</v>
      </c>
      <c r="E94" s="73" t="s">
        <v>540</v>
      </c>
      <c r="F94" s="74" t="s">
        <v>541</v>
      </c>
      <c r="G94" s="75" t="s">
        <v>542</v>
      </c>
      <c r="H94" s="76" t="s">
        <v>543</v>
      </c>
    </row>
    <row r="95" customFormat="false" ht="43.5" hidden="false" customHeight="true" outlineLevel="0" collapsed="false">
      <c r="B95" s="79" t="s">
        <v>271</v>
      </c>
      <c r="C95" s="51" t="s">
        <v>109</v>
      </c>
      <c r="D95" s="72" t="s">
        <v>544</v>
      </c>
      <c r="E95" s="73" t="s">
        <v>545</v>
      </c>
      <c r="F95" s="74" t="s">
        <v>546</v>
      </c>
      <c r="G95" s="75" t="s">
        <v>547</v>
      </c>
      <c r="H95" s="76" t="s">
        <v>548</v>
      </c>
    </row>
    <row r="96" customFormat="false" ht="43.5" hidden="false" customHeight="true" outlineLevel="0" collapsed="false">
      <c r="B96" s="79"/>
      <c r="C96" s="55" t="s">
        <v>110</v>
      </c>
      <c r="D96" s="72" t="s">
        <v>549</v>
      </c>
      <c r="E96" s="73" t="s">
        <v>550</v>
      </c>
      <c r="F96" s="74" t="s">
        <v>551</v>
      </c>
      <c r="G96" s="75" t="s">
        <v>552</v>
      </c>
      <c r="H96" s="76" t="s">
        <v>426</v>
      </c>
    </row>
    <row r="97" customFormat="false" ht="43.5" hidden="false" customHeight="true" outlineLevel="0" collapsed="false">
      <c r="B97" s="79"/>
      <c r="C97" s="56" t="s">
        <v>111</v>
      </c>
      <c r="D97" s="72" t="s">
        <v>553</v>
      </c>
      <c r="E97" s="73" t="s">
        <v>554</v>
      </c>
      <c r="F97" s="74" t="s">
        <v>555</v>
      </c>
      <c r="G97" s="75" t="s">
        <v>556</v>
      </c>
      <c r="H97" s="76" t="s">
        <v>557</v>
      </c>
    </row>
    <row r="98" customFormat="false" ht="43.5" hidden="false" customHeight="true" outlineLevel="0" collapsed="false">
      <c r="B98" s="79"/>
      <c r="C98" s="57" t="s">
        <v>112</v>
      </c>
      <c r="D98" s="72" t="s">
        <v>558</v>
      </c>
      <c r="E98" s="73" t="s">
        <v>559</v>
      </c>
      <c r="F98" s="74" t="s">
        <v>560</v>
      </c>
      <c r="G98" s="75" t="s">
        <v>561</v>
      </c>
      <c r="H98" s="76" t="s">
        <v>562</v>
      </c>
    </row>
    <row r="99" customFormat="false" ht="43.5" hidden="false" customHeight="true" outlineLevel="0" collapsed="false">
      <c r="B99" s="80" t="s">
        <v>292</v>
      </c>
      <c r="C99" s="51" t="s">
        <v>109</v>
      </c>
      <c r="D99" s="72" t="s">
        <v>563</v>
      </c>
      <c r="E99" s="73" t="s">
        <v>564</v>
      </c>
      <c r="F99" s="74" t="s">
        <v>565</v>
      </c>
      <c r="G99" s="75" t="s">
        <v>566</v>
      </c>
      <c r="H99" s="76" t="s">
        <v>567</v>
      </c>
    </row>
    <row r="100" customFormat="false" ht="43.5" hidden="false" customHeight="true" outlineLevel="0" collapsed="false">
      <c r="B100" s="80"/>
      <c r="C100" s="55" t="s">
        <v>110</v>
      </c>
      <c r="D100" s="72" t="s">
        <v>568</v>
      </c>
      <c r="E100" s="73" t="s">
        <v>569</v>
      </c>
      <c r="F100" s="74" t="s">
        <v>570</v>
      </c>
      <c r="G100" s="75" t="s">
        <v>571</v>
      </c>
      <c r="H100" s="76" t="s">
        <v>572</v>
      </c>
    </row>
    <row r="101" customFormat="false" ht="43.5" hidden="false" customHeight="true" outlineLevel="0" collapsed="false">
      <c r="B101" s="80"/>
      <c r="C101" s="56" t="s">
        <v>111</v>
      </c>
      <c r="D101" s="72" t="s">
        <v>573</v>
      </c>
      <c r="E101" s="73" t="s">
        <v>574</v>
      </c>
      <c r="F101" s="74" t="s">
        <v>575</v>
      </c>
      <c r="G101" s="75" t="s">
        <v>576</v>
      </c>
      <c r="H101" s="76" t="s">
        <v>577</v>
      </c>
    </row>
    <row r="102" customFormat="false" ht="43.5" hidden="false" customHeight="true" outlineLevel="0" collapsed="false">
      <c r="B102" s="80"/>
      <c r="C102" s="57" t="s">
        <v>112</v>
      </c>
      <c r="D102" s="72" t="s">
        <v>578</v>
      </c>
      <c r="E102" s="73" t="s">
        <v>579</v>
      </c>
      <c r="F102" s="74" t="s">
        <v>580</v>
      </c>
      <c r="G102" s="75" t="s">
        <v>581</v>
      </c>
      <c r="H102" s="76" t="s">
        <v>582</v>
      </c>
    </row>
    <row r="103" customFormat="false" ht="43.5" hidden="false" customHeight="true" outlineLevel="0" collapsed="false">
      <c r="B103" s="80" t="s">
        <v>313</v>
      </c>
      <c r="C103" s="51" t="s">
        <v>109</v>
      </c>
      <c r="D103" s="72" t="s">
        <v>583</v>
      </c>
      <c r="E103" s="73" t="s">
        <v>584</v>
      </c>
      <c r="F103" s="74" t="s">
        <v>585</v>
      </c>
      <c r="G103" s="75" t="s">
        <v>586</v>
      </c>
      <c r="H103" s="76" t="s">
        <v>587</v>
      </c>
    </row>
    <row r="104" customFormat="false" ht="43.5" hidden="false" customHeight="true" outlineLevel="0" collapsed="false">
      <c r="B104" s="80"/>
      <c r="C104" s="55" t="s">
        <v>110</v>
      </c>
      <c r="D104" s="72" t="s">
        <v>588</v>
      </c>
      <c r="E104" s="73" t="s">
        <v>589</v>
      </c>
      <c r="F104" s="74" t="s">
        <v>590</v>
      </c>
      <c r="G104" s="75" t="s">
        <v>457</v>
      </c>
      <c r="H104" s="76" t="s">
        <v>591</v>
      </c>
    </row>
    <row r="105" customFormat="false" ht="43.5" hidden="false" customHeight="true" outlineLevel="0" collapsed="false">
      <c r="B105" s="80"/>
      <c r="C105" s="56" t="s">
        <v>111</v>
      </c>
      <c r="D105" s="72" t="s">
        <v>592</v>
      </c>
      <c r="E105" s="73" t="s">
        <v>593</v>
      </c>
      <c r="F105" s="74" t="s">
        <v>594</v>
      </c>
      <c r="G105" s="75" t="s">
        <v>327</v>
      </c>
      <c r="H105" s="76" t="s">
        <v>595</v>
      </c>
    </row>
    <row r="106" customFormat="false" ht="43.5" hidden="false" customHeight="true" outlineLevel="0" collapsed="false">
      <c r="B106" s="80"/>
      <c r="C106" s="57" t="s">
        <v>112</v>
      </c>
      <c r="D106" s="72" t="s">
        <v>596</v>
      </c>
      <c r="E106" s="73" t="s">
        <v>330</v>
      </c>
      <c r="F106" s="74" t="s">
        <v>597</v>
      </c>
      <c r="G106" s="75" t="s">
        <v>332</v>
      </c>
      <c r="H106" s="76" t="s">
        <v>598</v>
      </c>
    </row>
    <row r="107" customFormat="false" ht="43.5" hidden="false" customHeight="true" outlineLevel="0" collapsed="false">
      <c r="B107" s="80" t="s">
        <v>334</v>
      </c>
      <c r="C107" s="51" t="s">
        <v>109</v>
      </c>
      <c r="D107" s="72" t="s">
        <v>599</v>
      </c>
      <c r="E107" s="73" t="s">
        <v>600</v>
      </c>
      <c r="F107" s="74" t="s">
        <v>601</v>
      </c>
      <c r="G107" s="75" t="s">
        <v>602</v>
      </c>
      <c r="H107" s="76" t="s">
        <v>603</v>
      </c>
    </row>
    <row r="108" customFormat="false" ht="43.5" hidden="false" customHeight="true" outlineLevel="0" collapsed="false">
      <c r="B108" s="80"/>
      <c r="C108" s="55" t="s">
        <v>110</v>
      </c>
      <c r="D108" s="72" t="s">
        <v>604</v>
      </c>
      <c r="E108" s="73" t="s">
        <v>605</v>
      </c>
      <c r="F108" s="74" t="s">
        <v>606</v>
      </c>
      <c r="G108" s="75" t="s">
        <v>473</v>
      </c>
      <c r="H108" s="76" t="s">
        <v>607</v>
      </c>
    </row>
    <row r="109" customFormat="false" ht="43.5" hidden="false" customHeight="true" outlineLevel="0" collapsed="false">
      <c r="B109" s="80"/>
      <c r="C109" s="56" t="s">
        <v>111</v>
      </c>
      <c r="D109" s="72" t="s">
        <v>608</v>
      </c>
      <c r="E109" s="73" t="s">
        <v>609</v>
      </c>
      <c r="F109" s="74" t="s">
        <v>610</v>
      </c>
      <c r="G109" s="75" t="s">
        <v>611</v>
      </c>
      <c r="H109" s="76" t="s">
        <v>612</v>
      </c>
    </row>
    <row r="110" customFormat="false" ht="43.5" hidden="false" customHeight="true" outlineLevel="0" collapsed="false">
      <c r="B110" s="80"/>
      <c r="C110" s="57" t="s">
        <v>112</v>
      </c>
      <c r="D110" s="72" t="s">
        <v>613</v>
      </c>
      <c r="E110" s="73" t="s">
        <v>614</v>
      </c>
      <c r="F110" s="74" t="s">
        <v>615</v>
      </c>
      <c r="G110" s="75" t="s">
        <v>616</v>
      </c>
      <c r="H110" s="76" t="s">
        <v>617</v>
      </c>
    </row>
    <row r="111" customFormat="false" ht="43.5" hidden="false" customHeight="true" outlineLevel="0" collapsed="false">
      <c r="B111" s="81" t="s">
        <v>355</v>
      </c>
      <c r="C111" s="51" t="s">
        <v>109</v>
      </c>
      <c r="D111" s="72" t="s">
        <v>618</v>
      </c>
      <c r="E111" s="73" t="s">
        <v>619</v>
      </c>
      <c r="F111" s="74" t="s">
        <v>620</v>
      </c>
      <c r="G111" s="75" t="s">
        <v>621</v>
      </c>
      <c r="H111" s="76" t="s">
        <v>622</v>
      </c>
    </row>
    <row r="112" customFormat="false" ht="43.5" hidden="false" customHeight="true" outlineLevel="0" collapsed="false">
      <c r="B112" s="81"/>
      <c r="C112" s="55" t="s">
        <v>110</v>
      </c>
      <c r="D112" s="72" t="s">
        <v>623</v>
      </c>
      <c r="E112" s="73" t="s">
        <v>624</v>
      </c>
      <c r="F112" s="74" t="s">
        <v>625</v>
      </c>
      <c r="G112" s="75" t="s">
        <v>626</v>
      </c>
      <c r="H112" s="76" t="s">
        <v>627</v>
      </c>
    </row>
    <row r="113" customFormat="false" ht="43.5" hidden="false" customHeight="true" outlineLevel="0" collapsed="false">
      <c r="B113" s="81"/>
      <c r="C113" s="56" t="s">
        <v>111</v>
      </c>
      <c r="D113" s="72" t="s">
        <v>628</v>
      </c>
      <c r="E113" s="73" t="s">
        <v>496</v>
      </c>
      <c r="F113" s="74" t="s">
        <v>629</v>
      </c>
      <c r="G113" s="75" t="s">
        <v>630</v>
      </c>
      <c r="H113" s="76" t="s">
        <v>631</v>
      </c>
    </row>
    <row r="114" customFormat="false" ht="43.5" hidden="false" customHeight="true" outlineLevel="0" collapsed="false">
      <c r="B114" s="81"/>
      <c r="C114" s="57" t="s">
        <v>112</v>
      </c>
      <c r="D114" s="72" t="s">
        <v>632</v>
      </c>
      <c r="E114" s="73" t="s">
        <v>372</v>
      </c>
      <c r="F114" s="74" t="s">
        <v>633</v>
      </c>
      <c r="G114" s="75" t="s">
        <v>502</v>
      </c>
      <c r="H114" s="76" t="s">
        <v>634</v>
      </c>
    </row>
    <row r="115" customFormat="false" ht="43.5" hidden="false" customHeight="true" outlineLevel="0" collapsed="false">
      <c r="B115" s="81" t="s">
        <v>376</v>
      </c>
      <c r="C115" s="51" t="s">
        <v>109</v>
      </c>
      <c r="D115" s="72" t="s">
        <v>635</v>
      </c>
      <c r="E115" s="73" t="s">
        <v>636</v>
      </c>
      <c r="F115" s="74" t="s">
        <v>637</v>
      </c>
      <c r="G115" s="75" t="s">
        <v>638</v>
      </c>
      <c r="H115" s="76" t="s">
        <v>639</v>
      </c>
    </row>
    <row r="116" customFormat="false" ht="43.5" hidden="false" customHeight="true" outlineLevel="0" collapsed="false">
      <c r="B116" s="81"/>
      <c r="C116" s="55" t="s">
        <v>110</v>
      </c>
      <c r="D116" s="72" t="s">
        <v>640</v>
      </c>
      <c r="E116" s="73" t="s">
        <v>641</v>
      </c>
      <c r="F116" s="74" t="s">
        <v>642</v>
      </c>
      <c r="G116" s="75" t="s">
        <v>643</v>
      </c>
      <c r="H116" s="76" t="s">
        <v>513</v>
      </c>
    </row>
    <row r="117" customFormat="false" ht="43.5" hidden="false" customHeight="true" outlineLevel="0" collapsed="false">
      <c r="B117" s="81"/>
      <c r="C117" s="56" t="s">
        <v>111</v>
      </c>
      <c r="D117" s="72" t="s">
        <v>644</v>
      </c>
      <c r="E117" s="73" t="s">
        <v>645</v>
      </c>
      <c r="F117" s="74" t="s">
        <v>646</v>
      </c>
      <c r="G117" s="75" t="s">
        <v>647</v>
      </c>
      <c r="H117" s="76" t="s">
        <v>648</v>
      </c>
    </row>
    <row r="118" customFormat="false" ht="43.5" hidden="false" customHeight="true" outlineLevel="0" collapsed="false">
      <c r="B118" s="81"/>
      <c r="C118" s="57" t="s">
        <v>112</v>
      </c>
      <c r="D118" s="72" t="s">
        <v>649</v>
      </c>
      <c r="E118" s="73" t="s">
        <v>650</v>
      </c>
      <c r="F118" s="74" t="s">
        <v>651</v>
      </c>
      <c r="G118" s="75" t="s">
        <v>652</v>
      </c>
      <c r="H118" s="76" t="s">
        <v>653</v>
      </c>
    </row>
    <row r="121" customFormat="false" ht="18" hidden="false" customHeight="true" outlineLevel="0" collapsed="false">
      <c r="B121" s="1" t="s">
        <v>654</v>
      </c>
    </row>
    <row r="122" customFormat="false" ht="21.75" hidden="false" customHeight="true" outlineLevel="0" collapsed="false">
      <c r="B122" s="7" t="s">
        <v>108</v>
      </c>
      <c r="C122" s="7" t="s">
        <v>21</v>
      </c>
      <c r="D122" s="7" t="s">
        <v>78</v>
      </c>
      <c r="E122" s="7" t="s">
        <v>655</v>
      </c>
      <c r="F122" s="7" t="s">
        <v>656</v>
      </c>
      <c r="G122" s="7"/>
      <c r="H122" s="7"/>
    </row>
    <row r="123" customFormat="false" ht="30" hidden="false" customHeight="true" outlineLevel="0" collapsed="false">
      <c r="B123" s="29" t="s">
        <v>114</v>
      </c>
      <c r="C123" s="22" t="s">
        <v>115</v>
      </c>
      <c r="D123" s="40" t="s">
        <v>116</v>
      </c>
      <c r="E123" s="82" t="n">
        <v>0.18</v>
      </c>
      <c r="F123" s="69" t="s">
        <v>657</v>
      </c>
      <c r="G123" s="69"/>
      <c r="H123" s="69"/>
    </row>
    <row r="124" customFormat="false" ht="30" hidden="false" customHeight="true" outlineLevel="0" collapsed="false">
      <c r="B124" s="29" t="s">
        <v>118</v>
      </c>
      <c r="C124" s="22" t="s">
        <v>119</v>
      </c>
      <c r="D124" s="40" t="s">
        <v>116</v>
      </c>
      <c r="E124" s="82" t="n">
        <v>0.12</v>
      </c>
      <c r="F124" s="69" t="s">
        <v>658</v>
      </c>
      <c r="G124" s="69"/>
      <c r="H124" s="69"/>
    </row>
    <row r="125" customFormat="false" ht="30" hidden="false" customHeight="true" outlineLevel="0" collapsed="false">
      <c r="B125" s="29" t="s">
        <v>121</v>
      </c>
      <c r="C125" s="22" t="s">
        <v>122</v>
      </c>
      <c r="D125" s="43" t="s">
        <v>123</v>
      </c>
      <c r="E125" s="82" t="n">
        <v>0.1</v>
      </c>
      <c r="F125" s="69" t="s">
        <v>659</v>
      </c>
      <c r="G125" s="69"/>
      <c r="H125" s="69"/>
    </row>
    <row r="126" customFormat="false" ht="30" hidden="false" customHeight="true" outlineLevel="0" collapsed="false">
      <c r="B126" s="29" t="s">
        <v>125</v>
      </c>
      <c r="C126" s="22" t="s">
        <v>126</v>
      </c>
      <c r="D126" s="43" t="s">
        <v>123</v>
      </c>
      <c r="E126" s="82" t="n">
        <v>0.12</v>
      </c>
      <c r="F126" s="69" t="s">
        <v>660</v>
      </c>
      <c r="G126" s="69"/>
      <c r="H126" s="69"/>
    </row>
    <row r="127" customFormat="false" ht="30" hidden="false" customHeight="true" outlineLevel="0" collapsed="false">
      <c r="B127" s="29" t="s">
        <v>128</v>
      </c>
      <c r="C127" s="22" t="s">
        <v>129</v>
      </c>
      <c r="D127" s="43" t="s">
        <v>123</v>
      </c>
      <c r="E127" s="82" t="n">
        <v>0.15</v>
      </c>
      <c r="F127" s="69" t="s">
        <v>661</v>
      </c>
      <c r="G127" s="69"/>
      <c r="H127" s="69"/>
    </row>
    <row r="128" customFormat="false" ht="30" hidden="false" customHeight="true" outlineLevel="0" collapsed="false">
      <c r="B128" s="29" t="s">
        <v>131</v>
      </c>
      <c r="C128" s="22" t="s">
        <v>132</v>
      </c>
      <c r="D128" s="44" t="s">
        <v>133</v>
      </c>
      <c r="E128" s="82" t="n">
        <v>0.18</v>
      </c>
      <c r="F128" s="69" t="s">
        <v>662</v>
      </c>
      <c r="G128" s="69"/>
      <c r="H128" s="69"/>
    </row>
    <row r="129" customFormat="false" ht="30" hidden="false" customHeight="true" outlineLevel="0" collapsed="false">
      <c r="B129" s="29" t="s">
        <v>135</v>
      </c>
      <c r="C129" s="22" t="s">
        <v>136</v>
      </c>
      <c r="D129" s="44" t="s">
        <v>133</v>
      </c>
      <c r="E129" s="82" t="n">
        <v>0.15</v>
      </c>
      <c r="F129" s="69" t="s">
        <v>663</v>
      </c>
      <c r="G129" s="69"/>
      <c r="H129" s="69"/>
    </row>
  </sheetData>
  <mergeCells count="41">
    <mergeCell ref="B3:H3"/>
    <mergeCell ref="E6:H6"/>
    <mergeCell ref="E7:H7"/>
    <mergeCell ref="E8:H8"/>
    <mergeCell ref="E9:H9"/>
    <mergeCell ref="E10:H10"/>
    <mergeCell ref="E11:H11"/>
    <mergeCell ref="B15:H15"/>
    <mergeCell ref="B17:H17"/>
    <mergeCell ref="B27:H27"/>
    <mergeCell ref="B29:B32"/>
    <mergeCell ref="B33:B36"/>
    <mergeCell ref="B37:B40"/>
    <mergeCell ref="B41:B44"/>
    <mergeCell ref="B45:B48"/>
    <mergeCell ref="B49:B52"/>
    <mergeCell ref="B53:B56"/>
    <mergeCell ref="B58:H58"/>
    <mergeCell ref="B60:B63"/>
    <mergeCell ref="B64:B67"/>
    <mergeCell ref="B68:B71"/>
    <mergeCell ref="B72:B75"/>
    <mergeCell ref="B76:B79"/>
    <mergeCell ref="B80:B83"/>
    <mergeCell ref="B84:B87"/>
    <mergeCell ref="B89:H89"/>
    <mergeCell ref="B91:B94"/>
    <mergeCell ref="B95:B98"/>
    <mergeCell ref="B99:B102"/>
    <mergeCell ref="B103:B106"/>
    <mergeCell ref="B107:B110"/>
    <mergeCell ref="B111:B114"/>
    <mergeCell ref="B115:B118"/>
    <mergeCell ref="F122:H122"/>
    <mergeCell ref="F123:H123"/>
    <mergeCell ref="F124:H124"/>
    <mergeCell ref="F125:H125"/>
    <mergeCell ref="F126:H126"/>
    <mergeCell ref="F127:H127"/>
    <mergeCell ref="F128:H128"/>
    <mergeCell ref="F129:H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2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664</v>
      </c>
      <c r="C3" s="2"/>
      <c r="D3" s="2"/>
      <c r="E3" s="2"/>
    </row>
    <row r="5" customFormat="false" ht="21.75" hidden="false" customHeight="true" outlineLevel="0" collapsed="false">
      <c r="B5" s="15" t="s">
        <v>665</v>
      </c>
      <c r="C5" s="15"/>
      <c r="D5" s="15"/>
      <c r="E5" s="15"/>
    </row>
    <row r="7" customFormat="false" ht="15" hidden="false" customHeight="false" outlineLevel="0" collapsed="false">
      <c r="B7" s="1" t="s">
        <v>666</v>
      </c>
    </row>
    <row r="8" customFormat="false" ht="21.75" hidden="false" customHeight="true" outlineLevel="0" collapsed="false">
      <c r="B8" s="7" t="s">
        <v>44</v>
      </c>
      <c r="C8" s="7" t="s">
        <v>667</v>
      </c>
      <c r="D8" s="7" t="s">
        <v>46</v>
      </c>
    </row>
    <row r="9" customFormat="false" ht="48" hidden="false" customHeight="true" outlineLevel="0" collapsed="false">
      <c r="B9" s="83" t="s">
        <v>668</v>
      </c>
      <c r="C9" s="17" t="s">
        <v>669</v>
      </c>
      <c r="D9" s="17" t="s">
        <v>50</v>
      </c>
    </row>
    <row r="10" customFormat="false" ht="48" hidden="false" customHeight="true" outlineLevel="0" collapsed="false">
      <c r="B10" s="83" t="s">
        <v>670</v>
      </c>
      <c r="C10" s="17" t="s">
        <v>671</v>
      </c>
      <c r="D10" s="17" t="s">
        <v>53</v>
      </c>
    </row>
    <row r="11" customFormat="false" ht="48" hidden="false" customHeight="true" outlineLevel="0" collapsed="false">
      <c r="B11" s="83" t="s">
        <v>672</v>
      </c>
      <c r="C11" s="17" t="s">
        <v>55</v>
      </c>
      <c r="D11" s="17" t="s">
        <v>56</v>
      </c>
    </row>
    <row r="12" customFormat="false" ht="48" hidden="false" customHeight="true" outlineLevel="0" collapsed="false">
      <c r="B12" s="83" t="s">
        <v>673</v>
      </c>
      <c r="C12" s="17" t="s">
        <v>58</v>
      </c>
      <c r="D12" s="17" t="s">
        <v>59</v>
      </c>
    </row>
    <row r="14" customFormat="false" ht="15" hidden="false" customHeight="false" outlineLevel="0" collapsed="false">
      <c r="B14" s="1" t="s">
        <v>674</v>
      </c>
    </row>
    <row r="15" customFormat="false" ht="21.75" hidden="false" customHeight="true" outlineLevel="0" collapsed="false">
      <c r="B15" s="7" t="s">
        <v>675</v>
      </c>
      <c r="C15" s="7" t="s">
        <v>79</v>
      </c>
      <c r="D15" s="7" t="s">
        <v>676</v>
      </c>
      <c r="E15" s="7" t="s">
        <v>677</v>
      </c>
    </row>
    <row r="16" customFormat="false" ht="42" hidden="false" customHeight="true" outlineLevel="0" collapsed="false">
      <c r="B16" s="29" t="s">
        <v>678</v>
      </c>
      <c r="C16" s="10" t="s">
        <v>679</v>
      </c>
      <c r="D16" s="17" t="s">
        <v>680</v>
      </c>
      <c r="E16" s="84" t="s">
        <v>681</v>
      </c>
    </row>
    <row r="17" customFormat="false" ht="42" hidden="false" customHeight="true" outlineLevel="0" collapsed="false">
      <c r="B17" s="29" t="s">
        <v>682</v>
      </c>
      <c r="C17" s="10" t="s">
        <v>683</v>
      </c>
      <c r="D17" s="17" t="s">
        <v>684</v>
      </c>
      <c r="E17" s="84" t="s">
        <v>681</v>
      </c>
    </row>
    <row r="18" customFormat="false" ht="42" hidden="false" customHeight="true" outlineLevel="0" collapsed="false">
      <c r="B18" s="29" t="s">
        <v>685</v>
      </c>
      <c r="C18" s="10" t="s">
        <v>686</v>
      </c>
      <c r="D18" s="17" t="s">
        <v>687</v>
      </c>
      <c r="E18" s="84" t="s">
        <v>681</v>
      </c>
    </row>
    <row r="19" customFormat="false" ht="42" hidden="false" customHeight="true" outlineLevel="0" collapsed="false">
      <c r="B19" s="29" t="s">
        <v>688</v>
      </c>
      <c r="C19" s="10" t="s">
        <v>689</v>
      </c>
      <c r="D19" s="17" t="s">
        <v>690</v>
      </c>
      <c r="E19" s="84" t="s">
        <v>681</v>
      </c>
    </row>
    <row r="20" customFormat="false" ht="42" hidden="false" customHeight="true" outlineLevel="0" collapsed="false">
      <c r="B20" s="29" t="s">
        <v>691</v>
      </c>
      <c r="C20" s="10" t="s">
        <v>692</v>
      </c>
      <c r="D20" s="17" t="s">
        <v>693</v>
      </c>
      <c r="E20" s="84" t="s">
        <v>681</v>
      </c>
    </row>
    <row r="21" customFormat="false" ht="42" hidden="false" customHeight="true" outlineLevel="0" collapsed="false">
      <c r="B21" s="29" t="s">
        <v>694</v>
      </c>
      <c r="C21" s="10" t="s">
        <v>695</v>
      </c>
      <c r="D21" s="17" t="s">
        <v>696</v>
      </c>
      <c r="E21" s="84" t="s">
        <v>697</v>
      </c>
    </row>
    <row r="22" customFormat="false" ht="42" hidden="false" customHeight="true" outlineLevel="0" collapsed="false">
      <c r="B22" s="29" t="s">
        <v>698</v>
      </c>
      <c r="C22" s="10" t="s">
        <v>699</v>
      </c>
      <c r="D22" s="17" t="s">
        <v>700</v>
      </c>
      <c r="E22" s="84" t="s">
        <v>697</v>
      </c>
    </row>
    <row r="23" customFormat="false" ht="42" hidden="false" customHeight="true" outlineLevel="0" collapsed="false">
      <c r="B23" s="29" t="s">
        <v>701</v>
      </c>
      <c r="C23" s="10" t="s">
        <v>702</v>
      </c>
      <c r="D23" s="17" t="s">
        <v>703</v>
      </c>
      <c r="E23" s="84" t="s">
        <v>704</v>
      </c>
    </row>
    <row r="24" customFormat="false" ht="42" hidden="false" customHeight="true" outlineLevel="0" collapsed="false">
      <c r="B24" s="29" t="s">
        <v>705</v>
      </c>
      <c r="C24" s="10" t="s">
        <v>706</v>
      </c>
      <c r="D24" s="17" t="s">
        <v>707</v>
      </c>
      <c r="E24" s="84" t="s">
        <v>681</v>
      </c>
    </row>
    <row r="25" customFormat="false" ht="42" hidden="false" customHeight="true" outlineLevel="0" collapsed="false">
      <c r="B25" s="29" t="s">
        <v>708</v>
      </c>
      <c r="C25" s="10" t="s">
        <v>709</v>
      </c>
      <c r="D25" s="17" t="s">
        <v>710</v>
      </c>
      <c r="E25" s="84" t="s">
        <v>711</v>
      </c>
    </row>
  </sheetData>
  <mergeCells count="2">
    <mergeCell ref="B3:E3"/>
    <mergeCell ref="B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712</v>
      </c>
    </row>
    <row r="2" customFormat="false" ht="15" hidden="false" customHeight="false" outlineLevel="0" collapsed="false">
      <c r="A2" s="0" t="s">
        <v>713</v>
      </c>
    </row>
    <row r="3" customFormat="false" ht="15" hidden="false" customHeight="false" outlineLevel="0" collapsed="false">
      <c r="A3" s="0" t="s">
        <v>714</v>
      </c>
    </row>
    <row r="4" customFormat="false" ht="15" hidden="false" customHeight="false" outlineLevel="0" collapsed="false">
      <c r="A4" s="0" t="s">
        <v>715</v>
      </c>
    </row>
    <row r="5" customFormat="false" ht="15" hidden="false" customHeight="false" outlineLevel="0" collapsed="false">
      <c r="A5" s="0" t="s">
        <v>716</v>
      </c>
    </row>
    <row r="6" customFormat="false" ht="15" hidden="false" customHeight="false" outlineLevel="0" collapsed="false">
      <c r="A6" s="0" t="s">
        <v>717</v>
      </c>
    </row>
    <row r="7" customFormat="false" ht="15" hidden="false" customHeight="false" outlineLevel="0" collapsed="false">
      <c r="A7" s="0" t="s">
        <v>718</v>
      </c>
    </row>
    <row r="8" customFormat="false" ht="15" hidden="false" customHeight="false" outlineLevel="0" collapsed="false">
      <c r="A8" s="0" t="s">
        <v>719</v>
      </c>
    </row>
    <row r="9" customFormat="false" ht="15" hidden="false" customHeight="false" outlineLevel="0" collapsed="false">
      <c r="A9" s="0" t="s">
        <v>720</v>
      </c>
    </row>
    <row r="10" customFormat="false" ht="15" hidden="false" customHeight="false" outlineLevel="0" collapsed="false">
      <c r="A10" s="0" t="s">
        <v>721</v>
      </c>
    </row>
    <row r="11" customFormat="false" ht="15" hidden="false" customHeight="false" outlineLevel="0" collapsed="false">
      <c r="A11" s="0" t="s">
        <v>722</v>
      </c>
    </row>
    <row r="12" customFormat="false" ht="15" hidden="false" customHeight="false" outlineLevel="0" collapsed="false">
      <c r="A12" s="0" t="s">
        <v>723</v>
      </c>
    </row>
    <row r="13" customFormat="false" ht="15" hidden="false" customHeight="false" outlineLevel="0" collapsed="false">
      <c r="A13" s="0" t="s">
        <v>724</v>
      </c>
    </row>
    <row r="14" customFormat="false" ht="15" hidden="false" customHeight="false" outlineLevel="0" collapsed="false">
      <c r="A14" s="0" t="s">
        <v>725</v>
      </c>
    </row>
    <row r="15" customFormat="false" ht="15" hidden="false" customHeight="false" outlineLevel="0" collapsed="false">
      <c r="A15" s="0" t="s">
        <v>726</v>
      </c>
    </row>
    <row r="16" customFormat="false" ht="15" hidden="false" customHeight="false" outlineLevel="0" collapsed="false">
      <c r="A16" s="0" t="s">
        <v>727</v>
      </c>
    </row>
    <row r="17" customFormat="false" ht="15" hidden="false" customHeight="false" outlineLevel="0" collapsed="false">
      <c r="A17" s="0" t="s">
        <v>728</v>
      </c>
    </row>
    <row r="18" customFormat="false" ht="15" hidden="false" customHeight="false" outlineLevel="0" collapsed="false">
      <c r="A18" s="0" t="s">
        <v>729</v>
      </c>
    </row>
    <row r="19" customFormat="false" ht="15" hidden="false" customHeight="false" outlineLevel="0" collapsed="false">
      <c r="A19" s="0" t="s">
        <v>730</v>
      </c>
    </row>
    <row r="20" customFormat="false" ht="15" hidden="false" customHeight="false" outlineLevel="0" collapsed="false">
      <c r="A20" s="0" t="s">
        <v>731</v>
      </c>
    </row>
    <row r="21" customFormat="false" ht="15" hidden="false" customHeight="false" outlineLevel="0" collapsed="false">
      <c r="A21" s="0" t="s">
        <v>732</v>
      </c>
    </row>
    <row r="22" customFormat="false" ht="15" hidden="false" customHeight="false" outlineLevel="0" collapsed="false">
      <c r="A22" s="0" t="s">
        <v>733</v>
      </c>
    </row>
    <row r="23" customFormat="false" ht="15" hidden="false" customHeight="false" outlineLevel="0" collapsed="false">
      <c r="A23" s="0" t="s">
        <v>734</v>
      </c>
    </row>
    <row r="24" customFormat="false" ht="15" hidden="false" customHeight="false" outlineLevel="0" collapsed="false">
      <c r="A24" s="0" t="s">
        <v>735</v>
      </c>
    </row>
    <row r="25" customFormat="false" ht="15" hidden="false" customHeight="false" outlineLevel="0" collapsed="false">
      <c r="A25" s="0" t="s">
        <v>736</v>
      </c>
    </row>
    <row r="26" customFormat="false" ht="15" hidden="false" customHeight="false" outlineLevel="0" collapsed="false">
      <c r="A26" s="0" t="s">
        <v>737</v>
      </c>
    </row>
    <row r="27" customFormat="false" ht="15" hidden="false" customHeight="false" outlineLevel="0" collapsed="false">
      <c r="A27" s="0" t="s">
        <v>738</v>
      </c>
    </row>
    <row r="28" customFormat="false" ht="15" hidden="false" customHeight="false" outlineLevel="0" collapsed="false">
      <c r="A28" s="0" t="s">
        <v>739</v>
      </c>
    </row>
    <row r="29" customFormat="false" ht="15" hidden="false" customHeight="false" outlineLevel="0" collapsed="false">
      <c r="A29" s="0" t="s">
        <v>740</v>
      </c>
    </row>
    <row r="30" customFormat="false" ht="15" hidden="false" customHeight="false" outlineLevel="0" collapsed="false">
      <c r="A30" s="0" t="s">
        <v>741</v>
      </c>
    </row>
    <row r="31" customFormat="false" ht="15" hidden="false" customHeight="false" outlineLevel="0" collapsed="false">
      <c r="A31" s="0" t="s">
        <v>742</v>
      </c>
    </row>
    <row r="32" customFormat="false" ht="15" hidden="false" customHeight="false" outlineLevel="0" collapsed="false">
      <c r="A32" s="0" t="s">
        <v>743</v>
      </c>
    </row>
    <row r="33" customFormat="false" ht="15" hidden="false" customHeight="false" outlineLevel="0" collapsed="false">
      <c r="A33" s="0" t="s">
        <v>744</v>
      </c>
    </row>
    <row r="34" customFormat="false" ht="15" hidden="false" customHeight="false" outlineLevel="0" collapsed="false">
      <c r="A34" s="0" t="s">
        <v>745</v>
      </c>
    </row>
    <row r="35" customFormat="false" ht="15" hidden="false" customHeight="false" outlineLevel="0" collapsed="false">
      <c r="A35" s="0" t="s">
        <v>746</v>
      </c>
    </row>
    <row r="36" customFormat="false" ht="15" hidden="false" customHeight="false" outlineLevel="0" collapsed="false">
      <c r="A36" s="0" t="s">
        <v>747</v>
      </c>
    </row>
    <row r="37" customFormat="false" ht="15" hidden="false" customHeight="false" outlineLevel="0" collapsed="false">
      <c r="A37" s="0" t="s">
        <v>748</v>
      </c>
    </row>
    <row r="38" customFormat="false" ht="15" hidden="false" customHeight="false" outlineLevel="0" collapsed="false">
      <c r="A38" s="0" t="s">
        <v>749</v>
      </c>
    </row>
    <row r="39" customFormat="false" ht="15" hidden="false" customHeight="false" outlineLevel="0" collapsed="false">
      <c r="A39" s="0" t="s">
        <v>750</v>
      </c>
    </row>
    <row r="40" customFormat="false" ht="15" hidden="false" customHeight="false" outlineLevel="0" collapsed="false">
      <c r="A40" s="0" t="s">
        <v>751</v>
      </c>
    </row>
    <row r="41" customFormat="false" ht="15" hidden="false" customHeight="false" outlineLevel="0" collapsed="false">
      <c r="A41" s="0" t="s">
        <v>752</v>
      </c>
    </row>
    <row r="42" customFormat="false" ht="15" hidden="false" customHeight="false" outlineLevel="0" collapsed="false">
      <c r="A42" s="0" t="s">
        <v>753</v>
      </c>
    </row>
    <row r="43" customFormat="false" ht="15" hidden="false" customHeight="false" outlineLevel="0" collapsed="false">
      <c r="A43" s="0" t="s">
        <v>754</v>
      </c>
    </row>
    <row r="44" customFormat="false" ht="15" hidden="false" customHeight="false" outlineLevel="0" collapsed="false">
      <c r="A44" s="0" t="s">
        <v>755</v>
      </c>
    </row>
    <row r="45" customFormat="false" ht="15" hidden="false" customHeight="false" outlineLevel="0" collapsed="false">
      <c r="A45" s="0" t="s">
        <v>756</v>
      </c>
    </row>
    <row r="46" customFormat="false" ht="15" hidden="false" customHeight="false" outlineLevel="0" collapsed="false">
      <c r="A46" s="0" t="s">
        <v>757</v>
      </c>
    </row>
    <row r="47" customFormat="false" ht="15" hidden="false" customHeight="false" outlineLevel="0" collapsed="false">
      <c r="A47" s="0" t="s">
        <v>758</v>
      </c>
    </row>
    <row r="48" customFormat="false" ht="15" hidden="false" customHeight="false" outlineLevel="0" collapsed="false">
      <c r="A48" s="0" t="s">
        <v>759</v>
      </c>
    </row>
    <row r="49" customFormat="false" ht="15" hidden="false" customHeight="false" outlineLevel="0" collapsed="false">
      <c r="A49" s="0" t="s">
        <v>760</v>
      </c>
    </row>
    <row r="50" customFormat="false" ht="15" hidden="false" customHeight="false" outlineLevel="0" collapsed="false">
      <c r="A50" s="0" t="s">
        <v>761</v>
      </c>
    </row>
    <row r="51" customFormat="false" ht="15" hidden="false" customHeight="false" outlineLevel="0" collapsed="false">
      <c r="A51" s="0" t="s">
        <v>762</v>
      </c>
    </row>
    <row r="52" customFormat="false" ht="15" hidden="false" customHeight="false" outlineLevel="0" collapsed="false">
      <c r="A52" s="0" t="s">
        <v>763</v>
      </c>
    </row>
    <row r="53" customFormat="false" ht="15" hidden="false" customHeight="false" outlineLevel="0" collapsed="false">
      <c r="A53" s="0" t="s">
        <v>764</v>
      </c>
    </row>
    <row r="54" customFormat="false" ht="15" hidden="false" customHeight="false" outlineLevel="0" collapsed="false">
      <c r="A54" s="0" t="s">
        <v>765</v>
      </c>
    </row>
    <row r="55" customFormat="false" ht="15" hidden="false" customHeight="false" outlineLevel="0" collapsed="false">
      <c r="A55" s="0" t="s">
        <v>766</v>
      </c>
    </row>
    <row r="56" customFormat="false" ht="15" hidden="false" customHeight="false" outlineLevel="0" collapsed="false">
      <c r="A56" s="0" t="s">
        <v>767</v>
      </c>
    </row>
    <row r="57" customFormat="false" ht="15" hidden="false" customHeight="false" outlineLevel="0" collapsed="false">
      <c r="A57" s="0" t="s">
        <v>768</v>
      </c>
    </row>
    <row r="58" customFormat="false" ht="15" hidden="false" customHeight="false" outlineLevel="0" collapsed="false">
      <c r="A58" s="0" t="s">
        <v>769</v>
      </c>
    </row>
    <row r="59" customFormat="false" ht="15" hidden="false" customHeight="false" outlineLevel="0" collapsed="false">
      <c r="A59" s="0" t="s">
        <v>770</v>
      </c>
    </row>
    <row r="60" customFormat="false" ht="15" hidden="false" customHeight="false" outlineLevel="0" collapsed="false">
      <c r="A60" s="0" t="s">
        <v>771</v>
      </c>
    </row>
    <row r="61" customFormat="false" ht="15" hidden="false" customHeight="false" outlineLevel="0" collapsed="false">
      <c r="A61" s="0" t="s">
        <v>772</v>
      </c>
    </row>
    <row r="62" customFormat="false" ht="15" hidden="false" customHeight="false" outlineLevel="0" collapsed="false">
      <c r="A62" s="0" t="s">
        <v>773</v>
      </c>
    </row>
    <row r="63" customFormat="false" ht="15" hidden="false" customHeight="false" outlineLevel="0" collapsed="false">
      <c r="A63" s="0" t="s">
        <v>774</v>
      </c>
    </row>
    <row r="64" customFormat="false" ht="15" hidden="false" customHeight="false" outlineLevel="0" collapsed="false">
      <c r="A64" s="0" t="s">
        <v>775</v>
      </c>
    </row>
    <row r="65" customFormat="false" ht="15" hidden="false" customHeight="false" outlineLevel="0" collapsed="false">
      <c r="A65" s="0" t="s">
        <v>776</v>
      </c>
    </row>
    <row r="66" customFormat="false" ht="15" hidden="false" customHeight="false" outlineLevel="0" collapsed="false">
      <c r="A66" s="0" t="s">
        <v>777</v>
      </c>
    </row>
    <row r="67" customFormat="false" ht="15" hidden="false" customHeight="false" outlineLevel="0" collapsed="false">
      <c r="A67" s="0" t="s">
        <v>778</v>
      </c>
    </row>
    <row r="68" customFormat="false" ht="15" hidden="false" customHeight="false" outlineLevel="0" collapsed="false">
      <c r="A68" s="0" t="s">
        <v>779</v>
      </c>
    </row>
    <row r="69" customFormat="false" ht="15" hidden="false" customHeight="false" outlineLevel="0" collapsed="false">
      <c r="A69" s="0" t="s">
        <v>780</v>
      </c>
    </row>
    <row r="70" customFormat="false" ht="15" hidden="false" customHeight="false" outlineLevel="0" collapsed="false">
      <c r="A70" s="0" t="s">
        <v>781</v>
      </c>
    </row>
    <row r="71" customFormat="false" ht="15" hidden="false" customHeight="false" outlineLevel="0" collapsed="false">
      <c r="A71" s="0" t="s">
        <v>782</v>
      </c>
    </row>
    <row r="72" customFormat="false" ht="15" hidden="false" customHeight="false" outlineLevel="0" collapsed="false">
      <c r="A72" s="0" t="s">
        <v>783</v>
      </c>
    </row>
    <row r="73" customFormat="false" ht="15" hidden="false" customHeight="false" outlineLevel="0" collapsed="false">
      <c r="A73" s="0" t="s">
        <v>784</v>
      </c>
    </row>
    <row r="74" customFormat="false" ht="15" hidden="false" customHeight="false" outlineLevel="0" collapsed="false">
      <c r="A74" s="0" t="s">
        <v>785</v>
      </c>
    </row>
    <row r="75" customFormat="false" ht="15" hidden="false" customHeight="false" outlineLevel="0" collapsed="false">
      <c r="A75" s="0" t="s">
        <v>786</v>
      </c>
    </row>
    <row r="76" customFormat="false" ht="15" hidden="false" customHeight="false" outlineLevel="0" collapsed="false">
      <c r="A76" s="0" t="s">
        <v>787</v>
      </c>
    </row>
    <row r="77" customFormat="false" ht="15" hidden="false" customHeight="false" outlineLevel="0" collapsed="false">
      <c r="A77" s="0" t="s">
        <v>788</v>
      </c>
    </row>
    <row r="78" customFormat="false" ht="15" hidden="false" customHeight="false" outlineLevel="0" collapsed="false">
      <c r="A78" s="0" t="s">
        <v>789</v>
      </c>
    </row>
    <row r="79" customFormat="false" ht="15" hidden="false" customHeight="false" outlineLevel="0" collapsed="false">
      <c r="A79" s="0" t="s">
        <v>790</v>
      </c>
    </row>
    <row r="80" customFormat="false" ht="15" hidden="false" customHeight="false" outlineLevel="0" collapsed="false">
      <c r="A80" s="0" t="s">
        <v>791</v>
      </c>
    </row>
    <row r="81" customFormat="false" ht="15" hidden="false" customHeight="false" outlineLevel="0" collapsed="false">
      <c r="A81" s="0" t="s">
        <v>792</v>
      </c>
    </row>
    <row r="82" customFormat="false" ht="15" hidden="false" customHeight="false" outlineLevel="0" collapsed="false">
      <c r="A82" s="0" t="s">
        <v>793</v>
      </c>
    </row>
    <row r="83" customFormat="false" ht="15" hidden="false" customHeight="false" outlineLevel="0" collapsed="false">
      <c r="A83" s="0" t="s">
        <v>794</v>
      </c>
    </row>
    <row r="84" customFormat="false" ht="15" hidden="false" customHeight="false" outlineLevel="0" collapsed="false">
      <c r="A84" s="0" t="s">
        <v>795</v>
      </c>
    </row>
    <row r="85" customFormat="false" ht="15" hidden="false" customHeight="false" outlineLevel="0" collapsed="false">
      <c r="A85" s="0" t="s">
        <v>796</v>
      </c>
    </row>
    <row r="86" customFormat="false" ht="15" hidden="false" customHeight="false" outlineLevel="0" collapsed="false">
      <c r="A86" s="0" t="s">
        <v>797</v>
      </c>
    </row>
    <row r="87" customFormat="false" ht="15" hidden="false" customHeight="false" outlineLevel="0" collapsed="false">
      <c r="A87" s="0" t="s">
        <v>798</v>
      </c>
    </row>
    <row r="88" customFormat="false" ht="15" hidden="false" customHeight="false" outlineLevel="0" collapsed="false">
      <c r="A88" s="0" t="s">
        <v>799</v>
      </c>
    </row>
    <row r="89" customFormat="false" ht="15" hidden="false" customHeight="false" outlineLevel="0" collapsed="false">
      <c r="A89" s="0" t="s">
        <v>800</v>
      </c>
    </row>
    <row r="90" customFormat="false" ht="15" hidden="false" customHeight="false" outlineLevel="0" collapsed="false">
      <c r="A90" s="0" t="s">
        <v>801</v>
      </c>
    </row>
    <row r="91" customFormat="false" ht="15" hidden="false" customHeight="false" outlineLevel="0" collapsed="false">
      <c r="A91" s="0" t="s">
        <v>802</v>
      </c>
    </row>
    <row r="92" customFormat="false" ht="15" hidden="false" customHeight="false" outlineLevel="0" collapsed="false">
      <c r="A92" s="0" t="s">
        <v>803</v>
      </c>
    </row>
    <row r="93" customFormat="false" ht="15" hidden="false" customHeight="false" outlineLevel="0" collapsed="false">
      <c r="A93" s="0" t="s">
        <v>804</v>
      </c>
    </row>
    <row r="94" customFormat="false" ht="15" hidden="false" customHeight="false" outlineLevel="0" collapsed="false">
      <c r="A94" s="0" t="s">
        <v>805</v>
      </c>
    </row>
    <row r="95" customFormat="false" ht="15" hidden="false" customHeight="false" outlineLevel="0" collapsed="false">
      <c r="A95" s="0" t="s">
        <v>806</v>
      </c>
    </row>
    <row r="96" customFormat="false" ht="15" hidden="false" customHeight="false" outlineLevel="0" collapsed="false">
      <c r="A96" s="0" t="s">
        <v>807</v>
      </c>
    </row>
    <row r="97" customFormat="false" ht="15" hidden="false" customHeight="false" outlineLevel="0" collapsed="false">
      <c r="A97" s="0" t="s">
        <v>808</v>
      </c>
    </row>
    <row r="98" customFormat="false" ht="15" hidden="false" customHeight="false" outlineLevel="0" collapsed="false">
      <c r="A98" s="0" t="s">
        <v>809</v>
      </c>
    </row>
    <row r="99" customFormat="false" ht="15" hidden="false" customHeight="false" outlineLevel="0" collapsed="false">
      <c r="A99" s="0" t="s">
        <v>810</v>
      </c>
    </row>
    <row r="100" customFormat="false" ht="15" hidden="false" customHeight="false" outlineLevel="0" collapsed="false">
      <c r="A100" s="0" t="s">
        <v>811</v>
      </c>
    </row>
    <row r="101" customFormat="false" ht="15" hidden="false" customHeight="false" outlineLevel="0" collapsed="false">
      <c r="A101" s="0" t="s">
        <v>812</v>
      </c>
    </row>
    <row r="102" customFormat="false" ht="15" hidden="false" customHeight="false" outlineLevel="0" collapsed="false">
      <c r="A102" s="0" t="s">
        <v>813</v>
      </c>
    </row>
    <row r="103" customFormat="false" ht="15" hidden="false" customHeight="false" outlineLevel="0" collapsed="false">
      <c r="A103" s="0" t="s">
        <v>814</v>
      </c>
    </row>
    <row r="104" customFormat="false" ht="15" hidden="false" customHeight="false" outlineLevel="0" collapsed="false">
      <c r="A104" s="0" t="s">
        <v>815</v>
      </c>
    </row>
    <row r="105" customFormat="false" ht="15" hidden="false" customHeight="false" outlineLevel="0" collapsed="false">
      <c r="A105" s="0" t="s">
        <v>816</v>
      </c>
    </row>
    <row r="106" customFormat="false" ht="15" hidden="false" customHeight="false" outlineLevel="0" collapsed="false">
      <c r="A106" s="0" t="s">
        <v>817</v>
      </c>
    </row>
    <row r="107" customFormat="false" ht="15" hidden="false" customHeight="false" outlineLevel="0" collapsed="false">
      <c r="A107" s="0" t="s">
        <v>818</v>
      </c>
    </row>
    <row r="108" customFormat="false" ht="15" hidden="false" customHeight="false" outlineLevel="0" collapsed="false">
      <c r="A108" s="0" t="s">
        <v>819</v>
      </c>
    </row>
    <row r="109" customFormat="false" ht="15" hidden="false" customHeight="false" outlineLevel="0" collapsed="false">
      <c r="A109" s="0" t="s">
        <v>820</v>
      </c>
    </row>
    <row r="110" customFormat="false" ht="15" hidden="false" customHeight="false" outlineLevel="0" collapsed="false">
      <c r="A110" s="0" t="s">
        <v>821</v>
      </c>
    </row>
    <row r="111" customFormat="false" ht="15" hidden="false" customHeight="false" outlineLevel="0" collapsed="false">
      <c r="A111" s="0" t="s">
        <v>822</v>
      </c>
    </row>
    <row r="112" customFormat="false" ht="15" hidden="false" customHeight="false" outlineLevel="0" collapsed="false">
      <c r="A112" s="0" t="s">
        <v>823</v>
      </c>
    </row>
    <row r="113" customFormat="false" ht="15" hidden="false" customHeight="false" outlineLevel="0" collapsed="false">
      <c r="A113" s="0" t="s">
        <v>824</v>
      </c>
    </row>
    <row r="114" customFormat="false" ht="15" hidden="false" customHeight="false" outlineLevel="0" collapsed="false">
      <c r="A114" s="0" t="s">
        <v>825</v>
      </c>
    </row>
    <row r="115" customFormat="false" ht="15" hidden="false" customHeight="false" outlineLevel="0" collapsed="false">
      <c r="A115" s="0" t="s">
        <v>826</v>
      </c>
    </row>
    <row r="116" customFormat="false" ht="15" hidden="false" customHeight="false" outlineLevel="0" collapsed="false">
      <c r="A116" s="0" t="s">
        <v>827</v>
      </c>
    </row>
    <row r="117" customFormat="false" ht="15" hidden="false" customHeight="false" outlineLevel="0" collapsed="false">
      <c r="A117" s="0" t="s">
        <v>828</v>
      </c>
    </row>
    <row r="118" customFormat="false" ht="15" hidden="false" customHeight="false" outlineLevel="0" collapsed="false">
      <c r="A118" s="0" t="s">
        <v>829</v>
      </c>
    </row>
    <row r="119" customFormat="false" ht="15" hidden="false" customHeight="false" outlineLevel="0" collapsed="false">
      <c r="A119" s="0" t="s">
        <v>830</v>
      </c>
    </row>
    <row r="120" customFormat="false" ht="15" hidden="false" customHeight="false" outlineLevel="0" collapsed="false">
      <c r="A120" s="0" t="s">
        <v>831</v>
      </c>
    </row>
    <row r="121" customFormat="false" ht="15" hidden="false" customHeight="false" outlineLevel="0" collapsed="false">
      <c r="A121" s="0" t="s">
        <v>832</v>
      </c>
    </row>
    <row r="122" customFormat="false" ht="15" hidden="false" customHeight="false" outlineLevel="0" collapsed="false">
      <c r="A122" s="0" t="s">
        <v>833</v>
      </c>
    </row>
    <row r="123" customFormat="false" ht="15" hidden="false" customHeight="false" outlineLevel="0" collapsed="false">
      <c r="A123" s="0" t="s">
        <v>834</v>
      </c>
    </row>
    <row r="124" customFormat="false" ht="15" hidden="false" customHeight="false" outlineLevel="0" collapsed="false">
      <c r="A124" s="0" t="s">
        <v>835</v>
      </c>
    </row>
    <row r="125" customFormat="false" ht="15" hidden="false" customHeight="false" outlineLevel="0" collapsed="false">
      <c r="A125" s="0" t="s">
        <v>836</v>
      </c>
    </row>
    <row r="126" customFormat="false" ht="15" hidden="false" customHeight="false" outlineLevel="0" collapsed="false">
      <c r="A126" s="0" t="s">
        <v>837</v>
      </c>
    </row>
    <row r="127" customFormat="false" ht="15" hidden="false" customHeight="false" outlineLevel="0" collapsed="false">
      <c r="A127" s="0" t="s">
        <v>838</v>
      </c>
    </row>
    <row r="128" customFormat="false" ht="15" hidden="false" customHeight="false" outlineLevel="0" collapsed="false">
      <c r="A128" s="0" t="s">
        <v>839</v>
      </c>
    </row>
    <row r="129" customFormat="false" ht="15" hidden="false" customHeight="false" outlineLevel="0" collapsed="false">
      <c r="A129" s="0" t="s">
        <v>840</v>
      </c>
    </row>
    <row r="130" customFormat="false" ht="15" hidden="false" customHeight="false" outlineLevel="0" collapsed="false">
      <c r="A130" s="0" t="s">
        <v>841</v>
      </c>
    </row>
    <row r="131" customFormat="false" ht="15" hidden="false" customHeight="false" outlineLevel="0" collapsed="false">
      <c r="A131" s="0" t="s">
        <v>842</v>
      </c>
    </row>
    <row r="132" customFormat="false" ht="15" hidden="false" customHeight="false" outlineLevel="0" collapsed="false">
      <c r="A132" s="0" t="s">
        <v>843</v>
      </c>
    </row>
    <row r="133" customFormat="false" ht="15" hidden="false" customHeight="false" outlineLevel="0" collapsed="false">
      <c r="A133" s="0" t="s">
        <v>844</v>
      </c>
    </row>
    <row r="134" customFormat="false" ht="15" hidden="false" customHeight="false" outlineLevel="0" collapsed="false">
      <c r="A134" s="0" t="s">
        <v>845</v>
      </c>
    </row>
    <row r="135" customFormat="false" ht="15" hidden="false" customHeight="false" outlineLevel="0" collapsed="false">
      <c r="A135" s="0" t="s">
        <v>846</v>
      </c>
    </row>
    <row r="136" customFormat="false" ht="15" hidden="false" customHeight="false" outlineLevel="0" collapsed="false">
      <c r="A136" s="0" t="s">
        <v>847</v>
      </c>
    </row>
    <row r="137" customFormat="false" ht="15" hidden="false" customHeight="false" outlineLevel="0" collapsed="false">
      <c r="A137" s="0" t="s">
        <v>848</v>
      </c>
    </row>
    <row r="138" customFormat="false" ht="15" hidden="false" customHeight="false" outlineLevel="0" collapsed="false">
      <c r="A138" s="0" t="s">
        <v>849</v>
      </c>
    </row>
    <row r="139" customFormat="false" ht="15" hidden="false" customHeight="false" outlineLevel="0" collapsed="false">
      <c r="A139" s="0" t="s">
        <v>850</v>
      </c>
    </row>
    <row r="140" customFormat="false" ht="15" hidden="false" customHeight="false" outlineLevel="0" collapsed="false">
      <c r="A140" s="0" t="s">
        <v>851</v>
      </c>
    </row>
    <row r="141" customFormat="false" ht="15" hidden="false" customHeight="false" outlineLevel="0" collapsed="false">
      <c r="A141" s="0" t="s">
        <v>852</v>
      </c>
    </row>
    <row r="142" customFormat="false" ht="15" hidden="false" customHeight="false" outlineLevel="0" collapsed="false">
      <c r="A142" s="0" t="s">
        <v>853</v>
      </c>
    </row>
    <row r="143" customFormat="false" ht="15" hidden="false" customHeight="false" outlineLevel="0" collapsed="false">
      <c r="A143" s="0" t="s">
        <v>854</v>
      </c>
    </row>
    <row r="144" customFormat="false" ht="15" hidden="false" customHeight="false" outlineLevel="0" collapsed="false">
      <c r="A144" s="0" t="s">
        <v>855</v>
      </c>
    </row>
    <row r="145" customFormat="false" ht="15" hidden="false" customHeight="false" outlineLevel="0" collapsed="false">
      <c r="A145" s="0" t="s">
        <v>856</v>
      </c>
    </row>
    <row r="146" customFormat="false" ht="15" hidden="false" customHeight="false" outlineLevel="0" collapsed="false">
      <c r="A146" s="0" t="s">
        <v>857</v>
      </c>
    </row>
    <row r="147" customFormat="false" ht="15" hidden="false" customHeight="false" outlineLevel="0" collapsed="false">
      <c r="A147" s="0" t="s">
        <v>858</v>
      </c>
    </row>
    <row r="148" customFormat="false" ht="15" hidden="false" customHeight="false" outlineLevel="0" collapsed="false">
      <c r="A148" s="0" t="s">
        <v>859</v>
      </c>
    </row>
    <row r="149" customFormat="false" ht="15" hidden="false" customHeight="false" outlineLevel="0" collapsed="false">
      <c r="A149" s="0" t="s">
        <v>860</v>
      </c>
    </row>
    <row r="150" customFormat="false" ht="15" hidden="false" customHeight="false" outlineLevel="0" collapsed="false">
      <c r="A150" s="0" t="s">
        <v>861</v>
      </c>
    </row>
    <row r="151" customFormat="false" ht="15" hidden="false" customHeight="false" outlineLevel="0" collapsed="false">
      <c r="A151" s="0" t="s">
        <v>862</v>
      </c>
    </row>
    <row r="152" customFormat="false" ht="15" hidden="false" customHeight="false" outlineLevel="0" collapsed="false">
      <c r="A152" s="0" t="s">
        <v>863</v>
      </c>
    </row>
    <row r="153" customFormat="false" ht="15" hidden="false" customHeight="false" outlineLevel="0" collapsed="false">
      <c r="A153" s="0" t="s">
        <v>864</v>
      </c>
    </row>
    <row r="154" customFormat="false" ht="15" hidden="false" customHeight="false" outlineLevel="0" collapsed="false">
      <c r="A154" s="0" t="s">
        <v>865</v>
      </c>
    </row>
    <row r="155" customFormat="false" ht="15" hidden="false" customHeight="false" outlineLevel="0" collapsed="false">
      <c r="A155" s="0" t="s">
        <v>866</v>
      </c>
    </row>
    <row r="156" customFormat="false" ht="15" hidden="false" customHeight="false" outlineLevel="0" collapsed="false">
      <c r="A156" s="0" t="s">
        <v>867</v>
      </c>
    </row>
    <row r="157" customFormat="false" ht="15" hidden="false" customHeight="false" outlineLevel="0" collapsed="false">
      <c r="A157" s="0" t="s">
        <v>868</v>
      </c>
    </row>
    <row r="158" customFormat="false" ht="15" hidden="false" customHeight="false" outlineLevel="0" collapsed="false">
      <c r="A158" s="0" t="s">
        <v>869</v>
      </c>
    </row>
    <row r="159" customFormat="false" ht="15" hidden="false" customHeight="false" outlineLevel="0" collapsed="false">
      <c r="A159" s="0" t="s">
        <v>870</v>
      </c>
    </row>
    <row r="160" customFormat="false" ht="15" hidden="false" customHeight="false" outlineLevel="0" collapsed="false">
      <c r="A160" s="0" t="s">
        <v>871</v>
      </c>
    </row>
    <row r="161" customFormat="false" ht="15" hidden="false" customHeight="false" outlineLevel="0" collapsed="false">
      <c r="A161" s="0" t="s">
        <v>872</v>
      </c>
    </row>
    <row r="162" customFormat="false" ht="15" hidden="false" customHeight="false" outlineLevel="0" collapsed="false">
      <c r="A162" s="0" t="s">
        <v>873</v>
      </c>
    </row>
    <row r="163" customFormat="false" ht="15" hidden="false" customHeight="false" outlineLevel="0" collapsed="false">
      <c r="A163" s="0" t="s">
        <v>874</v>
      </c>
    </row>
    <row r="164" customFormat="false" ht="15" hidden="false" customHeight="false" outlineLevel="0" collapsed="false">
      <c r="A164" s="0" t="s">
        <v>875</v>
      </c>
    </row>
    <row r="165" customFormat="false" ht="15" hidden="false" customHeight="false" outlineLevel="0" collapsed="false">
      <c r="A165" s="0" t="s">
        <v>876</v>
      </c>
    </row>
    <row r="166" customFormat="false" ht="15" hidden="false" customHeight="false" outlineLevel="0" collapsed="false">
      <c r="A166" s="0" t="s">
        <v>877</v>
      </c>
    </row>
    <row r="167" customFormat="false" ht="15" hidden="false" customHeight="false" outlineLevel="0" collapsed="false">
      <c r="A167" s="0" t="s">
        <v>878</v>
      </c>
    </row>
    <row r="168" customFormat="false" ht="15" hidden="false" customHeight="false" outlineLevel="0" collapsed="false">
      <c r="A168" s="0" t="s">
        <v>879</v>
      </c>
    </row>
    <row r="169" customFormat="false" ht="15" hidden="false" customHeight="false" outlineLevel="0" collapsed="false">
      <c r="A169" s="0" t="s">
        <v>880</v>
      </c>
    </row>
    <row r="170" customFormat="false" ht="15" hidden="false" customHeight="false" outlineLevel="0" collapsed="false">
      <c r="A170" s="0" t="s">
        <v>881</v>
      </c>
    </row>
    <row r="171" customFormat="false" ht="15" hidden="false" customHeight="false" outlineLevel="0" collapsed="false">
      <c r="A171" s="0" t="s">
        <v>882</v>
      </c>
    </row>
    <row r="172" customFormat="false" ht="15" hidden="false" customHeight="false" outlineLevel="0" collapsed="false">
      <c r="A172" s="0" t="s">
        <v>883</v>
      </c>
    </row>
    <row r="173" customFormat="false" ht="15" hidden="false" customHeight="false" outlineLevel="0" collapsed="false">
      <c r="A173" s="0" t="s">
        <v>884</v>
      </c>
    </row>
    <row r="174" customFormat="false" ht="15" hidden="false" customHeight="false" outlineLevel="0" collapsed="false">
      <c r="A174" s="0" t="s">
        <v>885</v>
      </c>
    </row>
    <row r="175" customFormat="false" ht="15" hidden="false" customHeight="false" outlineLevel="0" collapsed="false">
      <c r="A175" s="0" t="s">
        <v>886</v>
      </c>
    </row>
    <row r="176" customFormat="false" ht="15" hidden="false" customHeight="false" outlineLevel="0" collapsed="false">
      <c r="A176" s="0" t="s">
        <v>887</v>
      </c>
    </row>
    <row r="177" customFormat="false" ht="15" hidden="false" customHeight="false" outlineLevel="0" collapsed="false">
      <c r="A177" s="0" t="s">
        <v>888</v>
      </c>
    </row>
    <row r="178" customFormat="false" ht="15" hidden="false" customHeight="false" outlineLevel="0" collapsed="false">
      <c r="A178" s="0" t="s">
        <v>889</v>
      </c>
    </row>
    <row r="179" customFormat="false" ht="15" hidden="false" customHeight="false" outlineLevel="0" collapsed="false">
      <c r="A179" s="0" t="s">
        <v>890</v>
      </c>
    </row>
    <row r="180" customFormat="false" ht="15" hidden="false" customHeight="false" outlineLevel="0" collapsed="false">
      <c r="A180" s="0" t="s">
        <v>891</v>
      </c>
    </row>
    <row r="181" customFormat="false" ht="15" hidden="false" customHeight="false" outlineLevel="0" collapsed="false">
      <c r="A181" s="0" t="s">
        <v>892</v>
      </c>
    </row>
    <row r="182" customFormat="false" ht="15" hidden="false" customHeight="false" outlineLevel="0" collapsed="false">
      <c r="A182" s="0" t="s">
        <v>893</v>
      </c>
    </row>
    <row r="183" customFormat="false" ht="15" hidden="false" customHeight="false" outlineLevel="0" collapsed="false">
      <c r="A183" s="0" t="s">
        <v>894</v>
      </c>
    </row>
    <row r="184" customFormat="false" ht="15" hidden="false" customHeight="false" outlineLevel="0" collapsed="false">
      <c r="A184" s="0" t="s">
        <v>895</v>
      </c>
    </row>
    <row r="185" customFormat="false" ht="15" hidden="false" customHeight="false" outlineLevel="0" collapsed="false">
      <c r="A185" s="0" t="s">
        <v>896</v>
      </c>
    </row>
    <row r="186" customFormat="false" ht="15" hidden="false" customHeight="false" outlineLevel="0" collapsed="false">
      <c r="A186" s="0" t="s">
        <v>897</v>
      </c>
    </row>
    <row r="187" customFormat="false" ht="15" hidden="false" customHeight="false" outlineLevel="0" collapsed="false">
      <c r="A187" s="0" t="s">
        <v>898</v>
      </c>
    </row>
    <row r="188" customFormat="false" ht="15" hidden="false" customHeight="false" outlineLevel="0" collapsed="false">
      <c r="A188" s="0" t="s">
        <v>899</v>
      </c>
    </row>
    <row r="189" customFormat="false" ht="15" hidden="false" customHeight="false" outlineLevel="0" collapsed="false">
      <c r="A189" s="0" t="s">
        <v>900</v>
      </c>
    </row>
    <row r="190" customFormat="false" ht="15" hidden="false" customHeight="false" outlineLevel="0" collapsed="false">
      <c r="A190" s="0" t="s">
        <v>901</v>
      </c>
    </row>
    <row r="191" customFormat="false" ht="15" hidden="false" customHeight="false" outlineLevel="0" collapsed="false">
      <c r="A191" s="0" t="s">
        <v>902</v>
      </c>
    </row>
    <row r="192" customFormat="false" ht="15" hidden="false" customHeight="false" outlineLevel="0" collapsed="false">
      <c r="A192" s="0" t="s">
        <v>903</v>
      </c>
    </row>
    <row r="193" customFormat="false" ht="15" hidden="false" customHeight="false" outlineLevel="0" collapsed="false">
      <c r="A193" s="0" t="s">
        <v>904</v>
      </c>
    </row>
    <row r="194" customFormat="false" ht="15" hidden="false" customHeight="false" outlineLevel="0" collapsed="false">
      <c r="A194" s="0" t="s">
        <v>905</v>
      </c>
    </row>
    <row r="195" customFormat="false" ht="15" hidden="false" customHeight="false" outlineLevel="0" collapsed="false">
      <c r="A195" s="0" t="s">
        <v>906</v>
      </c>
    </row>
    <row r="196" customFormat="false" ht="15" hidden="false" customHeight="false" outlineLevel="0" collapsed="false">
      <c r="A196" s="0" t="s">
        <v>907</v>
      </c>
    </row>
    <row r="197" customFormat="false" ht="15" hidden="false" customHeight="false" outlineLevel="0" collapsed="false">
      <c r="A197" s="0" t="s">
        <v>908</v>
      </c>
    </row>
    <row r="198" customFormat="false" ht="15" hidden="false" customHeight="false" outlineLevel="0" collapsed="false">
      <c r="A198" s="0" t="s">
        <v>909</v>
      </c>
    </row>
    <row r="199" customFormat="false" ht="15" hidden="false" customHeight="false" outlineLevel="0" collapsed="false">
      <c r="A199" s="0" t="s">
        <v>910</v>
      </c>
    </row>
    <row r="200" customFormat="false" ht="15" hidden="false" customHeight="false" outlineLevel="0" collapsed="false">
      <c r="A200" s="0" t="s">
        <v>911</v>
      </c>
    </row>
    <row r="201" customFormat="false" ht="15" hidden="false" customHeight="false" outlineLevel="0" collapsed="false">
      <c r="A201" s="0" t="s">
        <v>912</v>
      </c>
    </row>
    <row r="202" customFormat="false" ht="15" hidden="false" customHeight="false" outlineLevel="0" collapsed="false">
      <c r="A202" s="0" t="s">
        <v>913</v>
      </c>
    </row>
    <row r="203" customFormat="false" ht="15" hidden="false" customHeight="false" outlineLevel="0" collapsed="false">
      <c r="A203" s="0" t="s">
        <v>914</v>
      </c>
    </row>
    <row r="204" customFormat="false" ht="15" hidden="false" customHeight="false" outlineLevel="0" collapsed="false">
      <c r="A204" s="0" t="s">
        <v>915</v>
      </c>
    </row>
    <row r="205" customFormat="false" ht="15" hidden="false" customHeight="false" outlineLevel="0" collapsed="false">
      <c r="A205" s="0" t="s">
        <v>916</v>
      </c>
    </row>
    <row r="206" customFormat="false" ht="15" hidden="false" customHeight="false" outlineLevel="0" collapsed="false">
      <c r="A206" s="0" t="s">
        <v>917</v>
      </c>
    </row>
    <row r="207" customFormat="false" ht="15" hidden="false" customHeight="false" outlineLevel="0" collapsed="false">
      <c r="A207" s="0" t="s">
        <v>918</v>
      </c>
    </row>
    <row r="208" customFormat="false" ht="15" hidden="false" customHeight="false" outlineLevel="0" collapsed="false">
      <c r="A208" s="0" t="s">
        <v>919</v>
      </c>
    </row>
    <row r="209" customFormat="false" ht="15" hidden="false" customHeight="false" outlineLevel="0" collapsed="false">
      <c r="A209" s="0" t="s">
        <v>920</v>
      </c>
    </row>
    <row r="210" customFormat="false" ht="15" hidden="false" customHeight="false" outlineLevel="0" collapsed="false">
      <c r="A210" s="0" t="s">
        <v>921</v>
      </c>
    </row>
    <row r="211" customFormat="false" ht="15" hidden="false" customHeight="false" outlineLevel="0" collapsed="false">
      <c r="A211" s="0" t="s">
        <v>922</v>
      </c>
    </row>
    <row r="212" customFormat="false" ht="15" hidden="false" customHeight="false" outlineLevel="0" collapsed="false">
      <c r="A212" s="0" t="s">
        <v>923</v>
      </c>
    </row>
    <row r="213" customFormat="false" ht="15" hidden="false" customHeight="false" outlineLevel="0" collapsed="false">
      <c r="A213" s="0" t="s">
        <v>924</v>
      </c>
    </row>
    <row r="214" customFormat="false" ht="15" hidden="false" customHeight="false" outlineLevel="0" collapsed="false">
      <c r="A214" s="0" t="s">
        <v>925</v>
      </c>
    </row>
    <row r="215" customFormat="false" ht="15" hidden="false" customHeight="false" outlineLevel="0" collapsed="false">
      <c r="A215" s="0" t="s">
        <v>926</v>
      </c>
    </row>
    <row r="216" customFormat="false" ht="15" hidden="false" customHeight="false" outlineLevel="0" collapsed="false">
      <c r="A216" s="0" t="s">
        <v>927</v>
      </c>
    </row>
    <row r="217" customFormat="false" ht="15" hidden="false" customHeight="false" outlineLevel="0" collapsed="false">
      <c r="A217" s="0" t="s">
        <v>928</v>
      </c>
    </row>
    <row r="218" customFormat="false" ht="15" hidden="false" customHeight="false" outlineLevel="0" collapsed="false">
      <c r="A218" s="0" t="s">
        <v>929</v>
      </c>
    </row>
    <row r="219" customFormat="false" ht="15" hidden="false" customHeight="false" outlineLevel="0" collapsed="false">
      <c r="A219" s="0" t="s">
        <v>930</v>
      </c>
    </row>
    <row r="220" customFormat="false" ht="15" hidden="false" customHeight="false" outlineLevel="0" collapsed="false">
      <c r="A220" s="0" t="s">
        <v>931</v>
      </c>
    </row>
    <row r="221" customFormat="false" ht="15" hidden="false" customHeight="false" outlineLevel="0" collapsed="false">
      <c r="A221" s="0" t="s">
        <v>932</v>
      </c>
    </row>
    <row r="222" customFormat="false" ht="15" hidden="false" customHeight="false" outlineLevel="0" collapsed="false">
      <c r="A222" s="0" t="s">
        <v>933</v>
      </c>
    </row>
    <row r="223" customFormat="false" ht="15" hidden="false" customHeight="false" outlineLevel="0" collapsed="false">
      <c r="A223" s="0" t="s">
        <v>934</v>
      </c>
    </row>
    <row r="224" customFormat="false" ht="15" hidden="false" customHeight="false" outlineLevel="0" collapsed="false">
      <c r="A224" s="0" t="s">
        <v>935</v>
      </c>
    </row>
    <row r="225" customFormat="false" ht="15" hidden="false" customHeight="false" outlineLevel="0" collapsed="false">
      <c r="A225" s="0" t="s">
        <v>936</v>
      </c>
    </row>
    <row r="226" customFormat="false" ht="15" hidden="false" customHeight="false" outlineLevel="0" collapsed="false">
      <c r="A226" s="0" t="s">
        <v>937</v>
      </c>
    </row>
    <row r="227" customFormat="false" ht="15" hidden="false" customHeight="false" outlineLevel="0" collapsed="false">
      <c r="A227" s="0" t="s">
        <v>798</v>
      </c>
    </row>
    <row r="228" customFormat="false" ht="15" hidden="false" customHeight="false" outlineLevel="0" collapsed="false">
      <c r="A228" s="0" t="s">
        <v>938</v>
      </c>
    </row>
    <row r="229" customFormat="false" ht="15" hidden="false" customHeight="false" outlineLevel="0" collapsed="false">
      <c r="A229" s="0" t="s">
        <v>939</v>
      </c>
    </row>
    <row r="230" customFormat="false" ht="15" hidden="false" customHeight="false" outlineLevel="0" collapsed="false">
      <c r="A230" s="0" t="s">
        <v>801</v>
      </c>
    </row>
    <row r="231" customFormat="false" ht="15" hidden="false" customHeight="false" outlineLevel="0" collapsed="false">
      <c r="A231" s="0" t="s">
        <v>802</v>
      </c>
    </row>
    <row r="232" customFormat="false" ht="15" hidden="false" customHeight="false" outlineLevel="0" collapsed="false">
      <c r="A232" s="0" t="s">
        <v>803</v>
      </c>
    </row>
    <row r="233" customFormat="false" ht="15" hidden="false" customHeight="false" outlineLevel="0" collapsed="false">
      <c r="A233" s="0" t="s">
        <v>940</v>
      </c>
    </row>
    <row r="234" customFormat="false" ht="15" hidden="false" customHeight="false" outlineLevel="0" collapsed="false">
      <c r="A234" s="0" t="s">
        <v>805</v>
      </c>
    </row>
    <row r="235" customFormat="false" ht="15" hidden="false" customHeight="false" outlineLevel="0" collapsed="false">
      <c r="A235" s="0" t="s">
        <v>806</v>
      </c>
    </row>
    <row r="236" customFormat="false" ht="15" hidden="false" customHeight="false" outlineLevel="0" collapsed="false">
      <c r="A236" s="0" t="s">
        <v>941</v>
      </c>
    </row>
    <row r="237" customFormat="false" ht="15" hidden="false" customHeight="false" outlineLevel="0" collapsed="false">
      <c r="A237" s="0" t="s">
        <v>942</v>
      </c>
    </row>
    <row r="238" customFormat="false" ht="15" hidden="false" customHeight="false" outlineLevel="0" collapsed="false">
      <c r="A238" s="0" t="s">
        <v>943</v>
      </c>
    </row>
    <row r="239" customFormat="false" ht="15" hidden="false" customHeight="false" outlineLevel="0" collapsed="false">
      <c r="A239" s="0" t="s">
        <v>944</v>
      </c>
    </row>
    <row r="240" customFormat="false" ht="15" hidden="false" customHeight="false" outlineLevel="0" collapsed="false">
      <c r="A240" s="0" t="s">
        <v>811</v>
      </c>
    </row>
    <row r="241" customFormat="false" ht="15" hidden="false" customHeight="false" outlineLevel="0" collapsed="false">
      <c r="A241" s="0" t="s">
        <v>945</v>
      </c>
    </row>
    <row r="242" customFormat="false" ht="15" hidden="false" customHeight="false" outlineLevel="0" collapsed="false">
      <c r="A242" s="0" t="s">
        <v>813</v>
      </c>
    </row>
    <row r="243" customFormat="false" ht="15" hidden="false" customHeight="false" outlineLevel="0" collapsed="false">
      <c r="A243" s="0" t="s">
        <v>946</v>
      </c>
    </row>
    <row r="244" customFormat="false" ht="15" hidden="false" customHeight="false" outlineLevel="0" collapsed="false">
      <c r="A244" s="0" t="s">
        <v>947</v>
      </c>
    </row>
    <row r="245" customFormat="false" ht="15" hidden="false" customHeight="false" outlineLevel="0" collapsed="false">
      <c r="A245" s="0" t="s">
        <v>948</v>
      </c>
    </row>
    <row r="246" customFormat="false" ht="15" hidden="false" customHeight="false" outlineLevel="0" collapsed="false">
      <c r="A246" s="0" t="s">
        <v>949</v>
      </c>
    </row>
    <row r="247" customFormat="false" ht="15" hidden="false" customHeight="false" outlineLevel="0" collapsed="false">
      <c r="A247" s="0" t="s">
        <v>818</v>
      </c>
    </row>
    <row r="248" customFormat="false" ht="15" hidden="false" customHeight="false" outlineLevel="0" collapsed="false">
      <c r="A248" s="0" t="s">
        <v>950</v>
      </c>
    </row>
    <row r="249" customFormat="false" ht="15" hidden="false" customHeight="false" outlineLevel="0" collapsed="false">
      <c r="A249" s="0" t="s">
        <v>820</v>
      </c>
    </row>
    <row r="250" customFormat="false" ht="15" hidden="false" customHeight="false" outlineLevel="0" collapsed="false">
      <c r="A250" s="0" t="s">
        <v>951</v>
      </c>
    </row>
    <row r="251" customFormat="false" ht="15" hidden="false" customHeight="false" outlineLevel="0" collapsed="false">
      <c r="A251" s="0" t="s">
        <v>952</v>
      </c>
    </row>
    <row r="252" customFormat="false" ht="15" hidden="false" customHeight="false" outlineLevel="0" collapsed="false">
      <c r="A252" s="0" t="s">
        <v>823</v>
      </c>
    </row>
    <row r="253" customFormat="false" ht="15" hidden="false" customHeight="false" outlineLevel="0" collapsed="false">
      <c r="A253" s="0" t="s">
        <v>953</v>
      </c>
    </row>
    <row r="254" customFormat="false" ht="15" hidden="false" customHeight="false" outlineLevel="0" collapsed="false">
      <c r="A254" s="0" t="s">
        <v>825</v>
      </c>
    </row>
    <row r="255" customFormat="false" ht="15" hidden="false" customHeight="false" outlineLevel="0" collapsed="false">
      <c r="A255" s="0" t="s">
        <v>954</v>
      </c>
    </row>
    <row r="256" customFormat="false" ht="15" hidden="false" customHeight="false" outlineLevel="0" collapsed="false">
      <c r="A256" s="0" t="s">
        <v>955</v>
      </c>
    </row>
    <row r="257" customFormat="false" ht="15" hidden="false" customHeight="false" outlineLevel="0" collapsed="false">
      <c r="A257" s="0" t="s">
        <v>956</v>
      </c>
    </row>
    <row r="258" customFormat="false" ht="15" hidden="false" customHeight="false" outlineLevel="0" collapsed="false">
      <c r="A258" s="0" t="s">
        <v>957</v>
      </c>
    </row>
    <row r="259" customFormat="false" ht="15" hidden="false" customHeight="false" outlineLevel="0" collapsed="false">
      <c r="A259" s="0" t="s">
        <v>958</v>
      </c>
    </row>
    <row r="260" customFormat="false" ht="15" hidden="false" customHeight="false" outlineLevel="0" collapsed="false">
      <c r="A260" s="0" t="s">
        <v>959</v>
      </c>
    </row>
    <row r="261" customFormat="false" ht="15" hidden="false" customHeight="false" outlineLevel="0" collapsed="false">
      <c r="A261" s="0" t="s">
        <v>960</v>
      </c>
    </row>
    <row r="262" customFormat="false" ht="15" hidden="false" customHeight="false" outlineLevel="0" collapsed="false">
      <c r="A262" s="0" t="s">
        <v>961</v>
      </c>
    </row>
    <row r="263" customFormat="false" ht="15" hidden="false" customHeight="false" outlineLevel="0" collapsed="false">
      <c r="A263" s="0" t="s">
        <v>962</v>
      </c>
    </row>
    <row r="264" customFormat="false" ht="15" hidden="false" customHeight="false" outlineLevel="0" collapsed="false">
      <c r="A264" s="0" t="s">
        <v>963</v>
      </c>
    </row>
    <row r="265" customFormat="false" ht="15" hidden="false" customHeight="false" outlineLevel="0" collapsed="false">
      <c r="A265" s="0" t="s">
        <v>964</v>
      </c>
    </row>
    <row r="266" customFormat="false" ht="15" hidden="false" customHeight="false" outlineLevel="0" collapsed="false">
      <c r="A266" s="0" t="s">
        <v>965</v>
      </c>
    </row>
    <row r="267" customFormat="false" ht="15" hidden="false" customHeight="false" outlineLevel="0" collapsed="false">
      <c r="A267" s="0" t="s">
        <v>966</v>
      </c>
    </row>
    <row r="268" customFormat="false" ht="15" hidden="false" customHeight="false" outlineLevel="0" collapsed="false">
      <c r="A268" s="0" t="s">
        <v>967</v>
      </c>
    </row>
    <row r="269" customFormat="false" ht="15" hidden="false" customHeight="false" outlineLevel="0" collapsed="false">
      <c r="A269" s="0" t="s">
        <v>968</v>
      </c>
    </row>
    <row r="270" customFormat="false" ht="15" hidden="false" customHeight="false" outlineLevel="0" collapsed="false">
      <c r="A270" s="0" t="s">
        <v>969</v>
      </c>
    </row>
    <row r="271" customFormat="false" ht="15" hidden="false" customHeight="false" outlineLevel="0" collapsed="false">
      <c r="A271" s="0" t="s">
        <v>970</v>
      </c>
    </row>
    <row r="272" customFormat="false" ht="15" hidden="false" customHeight="false" outlineLevel="0" collapsed="false">
      <c r="A272" s="0" t="s">
        <v>971</v>
      </c>
    </row>
    <row r="273" customFormat="false" ht="15" hidden="false" customHeight="false" outlineLevel="0" collapsed="false">
      <c r="A273" s="0" t="s">
        <v>972</v>
      </c>
    </row>
    <row r="274" customFormat="false" ht="15" hidden="false" customHeight="false" outlineLevel="0" collapsed="false">
      <c r="A274" s="0" t="s">
        <v>973</v>
      </c>
    </row>
    <row r="275" customFormat="false" ht="15" hidden="false" customHeight="false" outlineLevel="0" collapsed="false">
      <c r="A275" s="0" t="s">
        <v>974</v>
      </c>
    </row>
    <row r="276" customFormat="false" ht="15" hidden="false" customHeight="false" outlineLevel="0" collapsed="false">
      <c r="A276" s="0" t="s">
        <v>975</v>
      </c>
    </row>
    <row r="277" customFormat="false" ht="15" hidden="false" customHeight="false" outlineLevel="0" collapsed="false">
      <c r="A277" s="0" t="s">
        <v>976</v>
      </c>
    </row>
    <row r="278" customFormat="false" ht="15" hidden="false" customHeight="false" outlineLevel="0" collapsed="false">
      <c r="A278" s="0" t="s">
        <v>977</v>
      </c>
    </row>
    <row r="279" customFormat="false" ht="15" hidden="false" customHeight="false" outlineLevel="0" collapsed="false">
      <c r="A279" s="0" t="s">
        <v>978</v>
      </c>
    </row>
    <row r="280" customFormat="false" ht="15" hidden="false" customHeight="false" outlineLevel="0" collapsed="false">
      <c r="A280" s="0" t="s">
        <v>979</v>
      </c>
    </row>
    <row r="281" customFormat="false" ht="15" hidden="false" customHeight="false" outlineLevel="0" collapsed="false">
      <c r="A281" s="0" t="s">
        <v>980</v>
      </c>
    </row>
    <row r="282" customFormat="false" ht="15" hidden="false" customHeight="false" outlineLevel="0" collapsed="false">
      <c r="A282" s="0" t="s">
        <v>981</v>
      </c>
    </row>
    <row r="283" customFormat="false" ht="15" hidden="false" customHeight="false" outlineLevel="0" collapsed="false">
      <c r="A283" s="0" t="s">
        <v>982</v>
      </c>
    </row>
    <row r="284" customFormat="false" ht="15" hidden="false" customHeight="false" outlineLevel="0" collapsed="false">
      <c r="A284" s="0" t="s">
        <v>983</v>
      </c>
    </row>
    <row r="285" customFormat="false" ht="15" hidden="false" customHeight="false" outlineLevel="0" collapsed="false">
      <c r="A285" s="0" t="s">
        <v>984</v>
      </c>
    </row>
    <row r="286" customFormat="false" ht="15" hidden="false" customHeight="false" outlineLevel="0" collapsed="false">
      <c r="A286" s="0" t="s">
        <v>985</v>
      </c>
    </row>
    <row r="287" customFormat="false" ht="15" hidden="false" customHeight="false" outlineLevel="0" collapsed="false">
      <c r="A287" s="0" t="s">
        <v>986</v>
      </c>
    </row>
    <row r="288" customFormat="false" ht="15" hidden="false" customHeight="false" outlineLevel="0" collapsed="false">
      <c r="A288" s="0" t="s">
        <v>987</v>
      </c>
    </row>
    <row r="289" customFormat="false" ht="15" hidden="false" customHeight="false" outlineLevel="0" collapsed="false">
      <c r="A289" s="0" t="s">
        <v>988</v>
      </c>
    </row>
    <row r="290" customFormat="false" ht="15" hidden="false" customHeight="false" outlineLevel="0" collapsed="false">
      <c r="A290" s="0" t="s">
        <v>989</v>
      </c>
    </row>
    <row r="291" customFormat="false" ht="15" hidden="false" customHeight="false" outlineLevel="0" collapsed="false">
      <c r="A291" s="0" t="s">
        <v>990</v>
      </c>
    </row>
    <row r="292" customFormat="false" ht="15" hidden="false" customHeight="false" outlineLevel="0" collapsed="false">
      <c r="A292" s="0" t="s">
        <v>863</v>
      </c>
    </row>
    <row r="293" customFormat="false" ht="15" hidden="false" customHeight="false" outlineLevel="0" collapsed="false">
      <c r="A293" s="0" t="s">
        <v>991</v>
      </c>
    </row>
    <row r="294" customFormat="false" ht="15" hidden="false" customHeight="false" outlineLevel="0" collapsed="false">
      <c r="A294" s="0" t="s">
        <v>992</v>
      </c>
    </row>
    <row r="295" customFormat="false" ht="15" hidden="false" customHeight="false" outlineLevel="0" collapsed="false">
      <c r="A295" s="0" t="s">
        <v>993</v>
      </c>
    </row>
    <row r="296" customFormat="false" ht="15" hidden="false" customHeight="false" outlineLevel="0" collapsed="false">
      <c r="A296" s="0" t="s">
        <v>994</v>
      </c>
    </row>
    <row r="297" customFormat="false" ht="15" hidden="false" customHeight="false" outlineLevel="0" collapsed="false">
      <c r="A297" s="0" t="s">
        <v>995</v>
      </c>
    </row>
    <row r="298" customFormat="false" ht="15" hidden="false" customHeight="false" outlineLevel="0" collapsed="false">
      <c r="A298" s="0" t="s">
        <v>996</v>
      </c>
    </row>
    <row r="299" customFormat="false" ht="15" hidden="false" customHeight="false" outlineLevel="0" collapsed="false">
      <c r="A299" s="0" t="s">
        <v>997</v>
      </c>
    </row>
    <row r="300" customFormat="false" ht="15" hidden="false" customHeight="false" outlineLevel="0" collapsed="false">
      <c r="A300" s="0" t="s">
        <v>998</v>
      </c>
    </row>
    <row r="301" customFormat="false" ht="15" hidden="false" customHeight="false" outlineLevel="0" collapsed="false">
      <c r="A301" s="0" t="s">
        <v>999</v>
      </c>
    </row>
    <row r="302" customFormat="false" ht="15" hidden="false" customHeight="false" outlineLevel="0" collapsed="false">
      <c r="A302" s="0" t="s">
        <v>1000</v>
      </c>
    </row>
    <row r="303" customFormat="false" ht="15" hidden="false" customHeight="false" outlineLevel="0" collapsed="false">
      <c r="A303" s="0" t="s">
        <v>1001</v>
      </c>
    </row>
    <row r="304" customFormat="false" ht="15" hidden="false" customHeight="false" outlineLevel="0" collapsed="false">
      <c r="A304" s="0" t="s">
        <v>1002</v>
      </c>
    </row>
    <row r="305" customFormat="false" ht="15" hidden="false" customHeight="false" outlineLevel="0" collapsed="false">
      <c r="A305" s="0" t="s">
        <v>1003</v>
      </c>
    </row>
    <row r="306" customFormat="false" ht="15" hidden="false" customHeight="false" outlineLevel="0" collapsed="false">
      <c r="A306" s="0" t="s">
        <v>1004</v>
      </c>
    </row>
    <row r="307" customFormat="false" ht="15" hidden="false" customHeight="false" outlineLevel="0" collapsed="false">
      <c r="A307" s="0" t="s">
        <v>1005</v>
      </c>
    </row>
    <row r="308" customFormat="false" ht="15" hidden="false" customHeight="false" outlineLevel="0" collapsed="false">
      <c r="A308" s="0" t="s">
        <v>1006</v>
      </c>
    </row>
    <row r="309" customFormat="false" ht="15" hidden="false" customHeight="false" outlineLevel="0" collapsed="false">
      <c r="A309" s="0" t="s">
        <v>1007</v>
      </c>
    </row>
    <row r="310" customFormat="false" ht="15" hidden="false" customHeight="false" outlineLevel="0" collapsed="false">
      <c r="A310" s="0" t="s">
        <v>1008</v>
      </c>
    </row>
    <row r="311" customFormat="false" ht="15" hidden="false" customHeight="false" outlineLevel="0" collapsed="false">
      <c r="A311" s="0" t="s">
        <v>1009</v>
      </c>
    </row>
    <row r="312" customFormat="false" ht="15" hidden="false" customHeight="false" outlineLevel="0" collapsed="false">
      <c r="A312" s="0" t="s">
        <v>1010</v>
      </c>
    </row>
    <row r="313" customFormat="false" ht="15" hidden="false" customHeight="false" outlineLevel="0" collapsed="false">
      <c r="A313" s="0" t="s">
        <v>1011</v>
      </c>
    </row>
    <row r="314" customFormat="false" ht="15" hidden="false" customHeight="false" outlineLevel="0" collapsed="false">
      <c r="A314" s="0" t="s">
        <v>1012</v>
      </c>
    </row>
    <row r="315" customFormat="false" ht="15" hidden="false" customHeight="false" outlineLevel="0" collapsed="false">
      <c r="A315" s="0" t="s">
        <v>1013</v>
      </c>
    </row>
    <row r="316" customFormat="false" ht="15" hidden="false" customHeight="false" outlineLevel="0" collapsed="false">
      <c r="A316" s="0" t="s">
        <v>1014</v>
      </c>
    </row>
    <row r="317" customFormat="false" ht="15" hidden="false" customHeight="false" outlineLevel="0" collapsed="false">
      <c r="A317" s="0" t="s">
        <v>1015</v>
      </c>
    </row>
    <row r="318" customFormat="false" ht="15" hidden="false" customHeight="false" outlineLevel="0" collapsed="false">
      <c r="A318" s="0" t="s">
        <v>1016</v>
      </c>
    </row>
    <row r="319" customFormat="false" ht="15" hidden="false" customHeight="false" outlineLevel="0" collapsed="false">
      <c r="A319" s="0" t="s">
        <v>1017</v>
      </c>
    </row>
    <row r="320" customFormat="false" ht="15" hidden="false" customHeight="false" outlineLevel="0" collapsed="false">
      <c r="A320" s="0" t="s">
        <v>1018</v>
      </c>
    </row>
    <row r="321" customFormat="false" ht="15" hidden="false" customHeight="false" outlineLevel="0" collapsed="false">
      <c r="A321" s="0" t="s">
        <v>1019</v>
      </c>
    </row>
    <row r="322" customFormat="false" ht="15" hidden="false" customHeight="false" outlineLevel="0" collapsed="false">
      <c r="A322" s="0" t="s">
        <v>1020</v>
      </c>
    </row>
    <row r="323" customFormat="false" ht="15" hidden="false" customHeight="false" outlineLevel="0" collapsed="false">
      <c r="A323" s="0" t="s">
        <v>1021</v>
      </c>
    </row>
    <row r="324" customFormat="false" ht="15" hidden="false" customHeight="false" outlineLevel="0" collapsed="false">
      <c r="A324" s="0" t="s">
        <v>1022</v>
      </c>
    </row>
    <row r="325" customFormat="false" ht="15" hidden="false" customHeight="false" outlineLevel="0" collapsed="false">
      <c r="A325" s="0" t="s">
        <v>1023</v>
      </c>
    </row>
    <row r="326" customFormat="false" ht="15" hidden="false" customHeight="false" outlineLevel="0" collapsed="false">
      <c r="A326" s="0" t="s">
        <v>1024</v>
      </c>
    </row>
    <row r="327" customFormat="false" ht="15" hidden="false" customHeight="false" outlineLevel="0" collapsed="false">
      <c r="A327" s="0" t="s">
        <v>1025</v>
      </c>
    </row>
    <row r="328" customFormat="false" ht="15" hidden="false" customHeight="false" outlineLevel="0" collapsed="false">
      <c r="A328" s="0" t="s">
        <v>1026</v>
      </c>
    </row>
    <row r="329" customFormat="false" ht="15" hidden="false" customHeight="false" outlineLevel="0" collapsed="false">
      <c r="A329" s="0" t="s">
        <v>1027</v>
      </c>
    </row>
    <row r="330" customFormat="false" ht="15" hidden="false" customHeight="false" outlineLevel="0" collapsed="false">
      <c r="A330" s="0" t="s">
        <v>1028</v>
      </c>
    </row>
    <row r="331" customFormat="false" ht="15" hidden="false" customHeight="false" outlineLevel="0" collapsed="false">
      <c r="A331" s="0" t="s">
        <v>1029</v>
      </c>
    </row>
    <row r="332" customFormat="false" ht="15" hidden="false" customHeight="false" outlineLevel="0" collapsed="false">
      <c r="A332" s="0" t="s">
        <v>1030</v>
      </c>
    </row>
    <row r="333" customFormat="false" ht="15" hidden="false" customHeight="false" outlineLevel="0" collapsed="false">
      <c r="A333" s="0" t="s">
        <v>1031</v>
      </c>
    </row>
    <row r="334" customFormat="false" ht="15" hidden="false" customHeight="false" outlineLevel="0" collapsed="false">
      <c r="A334" s="0" t="s">
        <v>1032</v>
      </c>
    </row>
    <row r="335" customFormat="false" ht="15" hidden="false" customHeight="false" outlineLevel="0" collapsed="false">
      <c r="A335" s="0" t="s">
        <v>1033</v>
      </c>
    </row>
    <row r="336" customFormat="false" ht="15" hidden="false" customHeight="false" outlineLevel="0" collapsed="false">
      <c r="A336" s="0" t="s">
        <v>1034</v>
      </c>
    </row>
    <row r="337" customFormat="false" ht="15" hidden="false" customHeight="false" outlineLevel="0" collapsed="false">
      <c r="A337" s="0" t="s">
        <v>1035</v>
      </c>
    </row>
    <row r="338" customFormat="false" ht="15" hidden="false" customHeight="false" outlineLevel="0" collapsed="false">
      <c r="A338" s="0" t="s">
        <v>1036</v>
      </c>
    </row>
    <row r="339" customFormat="false" ht="15" hidden="false" customHeight="false" outlineLevel="0" collapsed="false">
      <c r="A339" s="0" t="s">
        <v>1037</v>
      </c>
    </row>
    <row r="340" customFormat="false" ht="15" hidden="false" customHeight="false" outlineLevel="0" collapsed="false">
      <c r="A340" s="0" t="s">
        <v>1038</v>
      </c>
    </row>
    <row r="341" customFormat="false" ht="15" hidden="false" customHeight="false" outlineLevel="0" collapsed="false">
      <c r="A341" s="0" t="s">
        <v>1039</v>
      </c>
    </row>
    <row r="342" customFormat="false" ht="15" hidden="false" customHeight="false" outlineLevel="0" collapsed="false">
      <c r="A342" s="0" t="s">
        <v>1040</v>
      </c>
    </row>
    <row r="343" customFormat="false" ht="15" hidden="false" customHeight="false" outlineLevel="0" collapsed="false">
      <c r="A343" s="0" t="s">
        <v>1041</v>
      </c>
    </row>
    <row r="344" customFormat="false" ht="15" hidden="false" customHeight="false" outlineLevel="0" collapsed="false">
      <c r="A344" s="0" t="s">
        <v>1042</v>
      </c>
    </row>
    <row r="345" customFormat="false" ht="15" hidden="false" customHeight="false" outlineLevel="0" collapsed="false">
      <c r="A345" s="0" t="s">
        <v>916</v>
      </c>
    </row>
    <row r="346" customFormat="false" ht="15" hidden="false" customHeight="false" outlineLevel="0" collapsed="false">
      <c r="A346" s="0" t="s">
        <v>1043</v>
      </c>
    </row>
    <row r="347" customFormat="false" ht="15" hidden="false" customHeight="false" outlineLevel="0" collapsed="false">
      <c r="A347" s="0" t="s">
        <v>1044</v>
      </c>
    </row>
    <row r="348" customFormat="false" ht="15" hidden="false" customHeight="false" outlineLevel="0" collapsed="false">
      <c r="A348" s="0" t="s">
        <v>1045</v>
      </c>
    </row>
    <row r="349" customFormat="false" ht="15" hidden="false" customHeight="false" outlineLevel="0" collapsed="false">
      <c r="A349" s="0" t="s">
        <v>1046</v>
      </c>
    </row>
    <row r="350" customFormat="false" ht="15" hidden="false" customHeight="false" outlineLevel="0" collapsed="false">
      <c r="A350" s="0" t="s">
        <v>1047</v>
      </c>
    </row>
    <row r="351" customFormat="false" ht="15" hidden="false" customHeight="false" outlineLevel="0" collapsed="false">
      <c r="A351" s="0" t="s">
        <v>1048</v>
      </c>
    </row>
    <row r="352" customFormat="false" ht="15" hidden="false" customHeight="false" outlineLevel="0" collapsed="false">
      <c r="A352" s="0" t="s">
        <v>1049</v>
      </c>
    </row>
    <row r="353" customFormat="false" ht="15" hidden="false" customHeight="false" outlineLevel="0" collapsed="false">
      <c r="A353" s="0" t="s">
        <v>1050</v>
      </c>
    </row>
    <row r="354" customFormat="false" ht="15" hidden="false" customHeight="false" outlineLevel="0" collapsed="false">
      <c r="A354" s="0" t="s">
        <v>1051</v>
      </c>
    </row>
    <row r="355" customFormat="false" ht="15" hidden="false" customHeight="false" outlineLevel="0" collapsed="false">
      <c r="A355" s="0" t="s">
        <v>1052</v>
      </c>
    </row>
    <row r="356" customFormat="false" ht="15" hidden="false" customHeight="false" outlineLevel="0" collapsed="false">
      <c r="A356" s="0" t="s">
        <v>1053</v>
      </c>
    </row>
    <row r="357" customFormat="false" ht="15" hidden="false" customHeight="false" outlineLevel="0" collapsed="false">
      <c r="A357" s="0" t="s">
        <v>1054</v>
      </c>
    </row>
    <row r="358" customFormat="false" ht="15" hidden="false" customHeight="false" outlineLevel="0" collapsed="false">
      <c r="A358" s="0" t="s">
        <v>1055</v>
      </c>
    </row>
    <row r="359" customFormat="false" ht="15" hidden="false" customHeight="false" outlineLevel="0" collapsed="false">
      <c r="A359" s="0" t="s">
        <v>1056</v>
      </c>
    </row>
    <row r="360" customFormat="false" ht="15" hidden="false" customHeight="false" outlineLevel="0" collapsed="false">
      <c r="A360" s="0" t="s">
        <v>1057</v>
      </c>
    </row>
    <row r="361" customFormat="false" ht="15" hidden="false" customHeight="false" outlineLevel="0" collapsed="false">
      <c r="A361" s="0" t="s">
        <v>1058</v>
      </c>
    </row>
    <row r="362" customFormat="false" ht="15" hidden="false" customHeight="false" outlineLevel="0" collapsed="false">
      <c r="A362" s="0" t="s">
        <v>1059</v>
      </c>
    </row>
    <row r="363" customFormat="false" ht="15" hidden="false" customHeight="false" outlineLevel="0" collapsed="false">
      <c r="A363" s="0" t="s">
        <v>1060</v>
      </c>
    </row>
    <row r="364" customFormat="false" ht="15" hidden="false" customHeight="false" outlineLevel="0" collapsed="false">
      <c r="A364" s="0" t="s">
        <v>1061</v>
      </c>
    </row>
    <row r="365" customFormat="false" ht="15" hidden="false" customHeight="false" outlineLevel="0" collapsed="false">
      <c r="A365" s="0" t="s">
        <v>1062</v>
      </c>
    </row>
    <row r="366" customFormat="false" ht="15" hidden="false" customHeight="false" outlineLevel="0" collapsed="false">
      <c r="A366" s="0" t="s">
        <v>1063</v>
      </c>
    </row>
    <row r="367" customFormat="false" ht="15" hidden="false" customHeight="false" outlineLevel="0" collapsed="false">
      <c r="A367" s="0" t="s">
        <v>1064</v>
      </c>
    </row>
    <row r="368" customFormat="false" ht="15" hidden="false" customHeight="false" outlineLevel="0" collapsed="false">
      <c r="A368" s="0" t="s">
        <v>1065</v>
      </c>
    </row>
    <row r="369" customFormat="false" ht="15" hidden="false" customHeight="false" outlineLevel="0" collapsed="false">
      <c r="A369" s="0" t="s">
        <v>1066</v>
      </c>
    </row>
    <row r="370" customFormat="false" ht="15" hidden="false" customHeight="false" outlineLevel="0" collapsed="false">
      <c r="A370" s="0" t="s">
        <v>1067</v>
      </c>
    </row>
    <row r="371" customFormat="false" ht="15" hidden="false" customHeight="false" outlineLevel="0" collapsed="false">
      <c r="A371" s="0" t="s">
        <v>1068</v>
      </c>
    </row>
    <row r="372" customFormat="false" ht="15" hidden="false" customHeight="false" outlineLevel="0" collapsed="false">
      <c r="A372" s="0" t="s">
        <v>1069</v>
      </c>
    </row>
    <row r="373" customFormat="false" ht="15" hidden="false" customHeight="false" outlineLevel="0" collapsed="false">
      <c r="A373" s="0" t="s">
        <v>1070</v>
      </c>
    </row>
    <row r="374" customFormat="false" ht="15" hidden="false" customHeight="false" outlineLevel="0" collapsed="false">
      <c r="A374" s="0" t="s">
        <v>1071</v>
      </c>
    </row>
    <row r="375" customFormat="false" ht="15" hidden="false" customHeight="false" outlineLevel="0" collapsed="false">
      <c r="A375" s="0" t="s">
        <v>1072</v>
      </c>
    </row>
    <row r="376" customFormat="false" ht="15" hidden="false" customHeight="false" outlineLevel="0" collapsed="false">
      <c r="A376" s="0" t="s">
        <v>1073</v>
      </c>
    </row>
    <row r="377" customFormat="false" ht="15" hidden="false" customHeight="false" outlineLevel="0" collapsed="false">
      <c r="A377" s="0" t="s">
        <v>1074</v>
      </c>
    </row>
    <row r="378" customFormat="false" ht="15" hidden="false" customHeight="false" outlineLevel="0" collapsed="false">
      <c r="A378" s="0" t="s">
        <v>1075</v>
      </c>
    </row>
    <row r="379" customFormat="false" ht="15" hidden="false" customHeight="false" outlineLevel="0" collapsed="false">
      <c r="A379" s="0" t="s">
        <v>1076</v>
      </c>
    </row>
    <row r="380" customFormat="false" ht="15" hidden="false" customHeight="false" outlineLevel="0" collapsed="false">
      <c r="A380" s="0" t="s">
        <v>1077</v>
      </c>
    </row>
    <row r="381" customFormat="false" ht="15" hidden="false" customHeight="false" outlineLevel="0" collapsed="false">
      <c r="A381" s="0" t="s">
        <v>1078</v>
      </c>
    </row>
    <row r="382" customFormat="false" ht="15" hidden="false" customHeight="false" outlineLevel="0" collapsed="false">
      <c r="A382" s="0" t="s">
        <v>1079</v>
      </c>
    </row>
    <row r="383" customFormat="false" ht="15" hidden="false" customHeight="false" outlineLevel="0" collapsed="false">
      <c r="A383" s="0" t="s">
        <v>1080</v>
      </c>
    </row>
    <row r="384" customFormat="false" ht="15" hidden="false" customHeight="false" outlineLevel="0" collapsed="false">
      <c r="A384" s="0" t="s">
        <v>947</v>
      </c>
    </row>
    <row r="385" customFormat="false" ht="15" hidden="false" customHeight="false" outlineLevel="0" collapsed="false">
      <c r="A385" s="0" t="s">
        <v>1081</v>
      </c>
    </row>
    <row r="386" customFormat="false" ht="15" hidden="false" customHeight="false" outlineLevel="0" collapsed="false">
      <c r="A386" s="0" t="s">
        <v>1082</v>
      </c>
    </row>
    <row r="387" customFormat="false" ht="15" hidden="false" customHeight="false" outlineLevel="0" collapsed="false">
      <c r="A387" s="0" t="s">
        <v>1083</v>
      </c>
    </row>
    <row r="388" customFormat="false" ht="15" hidden="false" customHeight="false" outlineLevel="0" collapsed="false">
      <c r="A388" s="0" t="s">
        <v>1084</v>
      </c>
    </row>
    <row r="389" customFormat="false" ht="15" hidden="false" customHeight="false" outlineLevel="0" collapsed="false">
      <c r="A389" s="0" t="s">
        <v>820</v>
      </c>
    </row>
    <row r="390" customFormat="false" ht="15" hidden="false" customHeight="false" outlineLevel="0" collapsed="false">
      <c r="A390" s="0" t="s">
        <v>1085</v>
      </c>
    </row>
    <row r="391" customFormat="false" ht="15" hidden="false" customHeight="false" outlineLevel="0" collapsed="false">
      <c r="A391" s="0" t="s">
        <v>1086</v>
      </c>
    </row>
    <row r="392" customFormat="false" ht="15" hidden="false" customHeight="false" outlineLevel="0" collapsed="false">
      <c r="A392" s="0" t="s">
        <v>823</v>
      </c>
    </row>
    <row r="393" customFormat="false" ht="15" hidden="false" customHeight="false" outlineLevel="0" collapsed="false">
      <c r="A393" s="0" t="s">
        <v>1087</v>
      </c>
    </row>
    <row r="394" customFormat="false" ht="15" hidden="false" customHeight="false" outlineLevel="0" collapsed="false">
      <c r="A394" s="0" t="s">
        <v>825</v>
      </c>
    </row>
    <row r="395" customFormat="false" ht="15" hidden="false" customHeight="false" outlineLevel="0" collapsed="false">
      <c r="A395" s="0" t="s">
        <v>1088</v>
      </c>
    </row>
    <row r="396" customFormat="false" ht="15" hidden="false" customHeight="false" outlineLevel="0" collapsed="false">
      <c r="A396" s="0" t="s">
        <v>1089</v>
      </c>
    </row>
    <row r="397" customFormat="false" ht="15" hidden="false" customHeight="false" outlineLevel="0" collapsed="false">
      <c r="A397" s="0" t="s">
        <v>1090</v>
      </c>
    </row>
    <row r="398" customFormat="false" ht="15" hidden="false" customHeight="false" outlineLevel="0" collapsed="false">
      <c r="A398" s="0" t="s">
        <v>1091</v>
      </c>
    </row>
    <row r="399" customFormat="false" ht="15" hidden="false" customHeight="false" outlineLevel="0" collapsed="false">
      <c r="A399" s="0" t="s">
        <v>1092</v>
      </c>
    </row>
    <row r="400" customFormat="false" ht="15" hidden="false" customHeight="false" outlineLevel="0" collapsed="false">
      <c r="A400" s="0" t="s">
        <v>1093</v>
      </c>
    </row>
    <row r="401" customFormat="false" ht="15" hidden="false" customHeight="false" outlineLevel="0" collapsed="false">
      <c r="A401" s="0" t="s">
        <v>1094</v>
      </c>
    </row>
    <row r="402" customFormat="false" ht="15" hidden="false" customHeight="false" outlineLevel="0" collapsed="false">
      <c r="A402" s="0" t="s">
        <v>1095</v>
      </c>
    </row>
    <row r="403" customFormat="false" ht="15" hidden="false" customHeight="false" outlineLevel="0" collapsed="false">
      <c r="A403" s="0" t="s">
        <v>1096</v>
      </c>
    </row>
    <row r="404" customFormat="false" ht="15" hidden="false" customHeight="false" outlineLevel="0" collapsed="false">
      <c r="A404" s="0" t="s">
        <v>963</v>
      </c>
    </row>
    <row r="405" customFormat="false" ht="15" hidden="false" customHeight="false" outlineLevel="0" collapsed="false">
      <c r="A405" s="0" t="s">
        <v>1097</v>
      </c>
    </row>
    <row r="406" customFormat="false" ht="15" hidden="false" customHeight="false" outlineLevel="0" collapsed="false">
      <c r="A406" s="0" t="s">
        <v>1098</v>
      </c>
    </row>
    <row r="407" customFormat="false" ht="15" hidden="false" customHeight="false" outlineLevel="0" collapsed="false">
      <c r="A407" s="0" t="s">
        <v>1099</v>
      </c>
    </row>
    <row r="408" customFormat="false" ht="15" hidden="false" customHeight="false" outlineLevel="0" collapsed="false">
      <c r="A408" s="0" t="s">
        <v>1100</v>
      </c>
    </row>
    <row r="409" customFormat="false" ht="15" hidden="false" customHeight="false" outlineLevel="0" collapsed="false">
      <c r="A409" s="0" t="s">
        <v>1101</v>
      </c>
    </row>
    <row r="410" customFormat="false" ht="15" hidden="false" customHeight="false" outlineLevel="0" collapsed="false">
      <c r="A410" s="0" t="s">
        <v>1102</v>
      </c>
    </row>
    <row r="411" customFormat="false" ht="15" hidden="false" customHeight="false" outlineLevel="0" collapsed="false">
      <c r="A411" s="0" t="s">
        <v>1103</v>
      </c>
    </row>
    <row r="412" customFormat="false" ht="15" hidden="false" customHeight="false" outlineLevel="0" collapsed="false">
      <c r="A412" s="0" t="s">
        <v>1104</v>
      </c>
    </row>
    <row r="413" customFormat="false" ht="15" hidden="false" customHeight="false" outlineLevel="0" collapsed="false">
      <c r="A413" s="0" t="s">
        <v>1105</v>
      </c>
    </row>
    <row r="414" customFormat="false" ht="15" hidden="false" customHeight="false" outlineLevel="0" collapsed="false">
      <c r="A414" s="0" t="s">
        <v>1106</v>
      </c>
    </row>
    <row r="415" customFormat="false" ht="15" hidden="false" customHeight="false" outlineLevel="0" collapsed="false">
      <c r="A415" s="0" t="s">
        <v>1107</v>
      </c>
    </row>
    <row r="416" customFormat="false" ht="15" hidden="false" customHeight="false" outlineLevel="0" collapsed="false">
      <c r="A416" s="0" t="s">
        <v>1108</v>
      </c>
    </row>
    <row r="417" customFormat="false" ht="15" hidden="false" customHeight="false" outlineLevel="0" collapsed="false">
      <c r="A417" s="0" t="s">
        <v>1109</v>
      </c>
    </row>
    <row r="418" customFormat="false" ht="15" hidden="false" customHeight="false" outlineLevel="0" collapsed="false">
      <c r="A418" s="0" t="s">
        <v>1110</v>
      </c>
    </row>
    <row r="419" customFormat="false" ht="15" hidden="false" customHeight="false" outlineLevel="0" collapsed="false">
      <c r="A419" s="0" t="s">
        <v>1111</v>
      </c>
    </row>
    <row r="420" customFormat="false" ht="15" hidden="false" customHeight="false" outlineLevel="0" collapsed="false">
      <c r="A420" s="0" t="s">
        <v>1112</v>
      </c>
    </row>
    <row r="421" customFormat="false" ht="15" hidden="false" customHeight="false" outlineLevel="0" collapsed="false">
      <c r="A421" s="0" t="s">
        <v>1113</v>
      </c>
    </row>
    <row r="422" customFormat="false" ht="15" hidden="false" customHeight="false" outlineLevel="0" collapsed="false">
      <c r="A422" s="0" t="s">
        <v>1114</v>
      </c>
    </row>
    <row r="423" customFormat="false" ht="15" hidden="false" customHeight="false" outlineLevel="0" collapsed="false">
      <c r="A423" s="0" t="s">
        <v>1115</v>
      </c>
    </row>
    <row r="424" customFormat="false" ht="15" hidden="false" customHeight="false" outlineLevel="0" collapsed="false">
      <c r="A424" s="0" t="s">
        <v>1116</v>
      </c>
    </row>
    <row r="425" customFormat="false" ht="15" hidden="false" customHeight="false" outlineLevel="0" collapsed="false">
      <c r="A425" s="0" t="s">
        <v>1117</v>
      </c>
    </row>
    <row r="426" customFormat="false" ht="15" hidden="false" customHeight="false" outlineLevel="0" collapsed="false">
      <c r="A426" s="0" t="s">
        <v>1118</v>
      </c>
    </row>
    <row r="427" customFormat="false" ht="15" hidden="false" customHeight="false" outlineLevel="0" collapsed="false">
      <c r="A427" s="0" t="s">
        <v>986</v>
      </c>
    </row>
    <row r="428" customFormat="false" ht="15" hidden="false" customHeight="false" outlineLevel="0" collapsed="false">
      <c r="A428" s="0" t="s">
        <v>1119</v>
      </c>
    </row>
    <row r="429" customFormat="false" ht="15" hidden="false" customHeight="false" outlineLevel="0" collapsed="false">
      <c r="A429" s="0" t="s">
        <v>1120</v>
      </c>
    </row>
    <row r="430" customFormat="false" ht="15" hidden="false" customHeight="false" outlineLevel="0" collapsed="false">
      <c r="A430" s="0" t="s">
        <v>1121</v>
      </c>
    </row>
    <row r="431" customFormat="false" ht="15" hidden="false" customHeight="false" outlineLevel="0" collapsed="false">
      <c r="A431" s="0" t="s">
        <v>1122</v>
      </c>
    </row>
    <row r="432" customFormat="false" ht="15" hidden="false" customHeight="false" outlineLevel="0" collapsed="false">
      <c r="A432" s="0" t="s">
        <v>863</v>
      </c>
    </row>
    <row r="433" customFormat="false" ht="15" hidden="false" customHeight="false" outlineLevel="0" collapsed="false">
      <c r="A433" s="0" t="s">
        <v>1123</v>
      </c>
    </row>
    <row r="434" customFormat="false" ht="15" hidden="false" customHeight="false" outlineLevel="0" collapsed="false">
      <c r="A434" s="0" t="s">
        <v>992</v>
      </c>
    </row>
    <row r="435" customFormat="false" ht="15" hidden="false" customHeight="false" outlineLevel="0" collapsed="false">
      <c r="A435" s="0" t="s">
        <v>1124</v>
      </c>
    </row>
    <row r="436" customFormat="false" ht="15" hidden="false" customHeight="false" outlineLevel="0" collapsed="false">
      <c r="A436" s="0" t="s">
        <v>1125</v>
      </c>
    </row>
    <row r="437" customFormat="false" ht="15" hidden="false" customHeight="false" outlineLevel="0" collapsed="false">
      <c r="A437" s="0" t="s">
        <v>1126</v>
      </c>
    </row>
    <row r="438" customFormat="false" ht="15" hidden="false" customHeight="false" outlineLevel="0" collapsed="false">
      <c r="A438" s="0" t="s">
        <v>1127</v>
      </c>
    </row>
    <row r="439" customFormat="false" ht="15" hidden="false" customHeight="false" outlineLevel="0" collapsed="false">
      <c r="A439" s="0" t="s">
        <v>1128</v>
      </c>
    </row>
    <row r="440" customFormat="false" ht="15" hidden="false" customHeight="false" outlineLevel="0" collapsed="false">
      <c r="A440" s="0" t="s">
        <v>1129</v>
      </c>
    </row>
    <row r="441" customFormat="false" ht="15" hidden="false" customHeight="false" outlineLevel="0" collapsed="false">
      <c r="A441" s="0" t="s">
        <v>1130</v>
      </c>
    </row>
    <row r="442" customFormat="false" ht="15" hidden="false" customHeight="false" outlineLevel="0" collapsed="false">
      <c r="A442" s="0" t="s">
        <v>1131</v>
      </c>
    </row>
    <row r="443" customFormat="false" ht="15" hidden="false" customHeight="false" outlineLevel="0" collapsed="false">
      <c r="A443" s="0" t="s">
        <v>1132</v>
      </c>
    </row>
    <row r="444" customFormat="false" ht="15" hidden="false" customHeight="false" outlineLevel="0" collapsed="false">
      <c r="A444" s="0" t="s">
        <v>1133</v>
      </c>
    </row>
    <row r="445" customFormat="false" ht="15" hidden="false" customHeight="false" outlineLevel="0" collapsed="false">
      <c r="A445" s="0" t="s">
        <v>1003</v>
      </c>
    </row>
    <row r="446" customFormat="false" ht="15" hidden="false" customHeight="false" outlineLevel="0" collapsed="false">
      <c r="A446" s="0" t="s">
        <v>1134</v>
      </c>
    </row>
    <row r="447" customFormat="false" ht="15" hidden="false" customHeight="false" outlineLevel="0" collapsed="false">
      <c r="A447" s="0" t="s">
        <v>1135</v>
      </c>
    </row>
    <row r="448" customFormat="false" ht="15" hidden="false" customHeight="false" outlineLevel="0" collapsed="false">
      <c r="A448" s="0" t="s">
        <v>1136</v>
      </c>
    </row>
    <row r="449" customFormat="false" ht="15" hidden="false" customHeight="false" outlineLevel="0" collapsed="false">
      <c r="A449" s="0" t="s">
        <v>1137</v>
      </c>
    </row>
    <row r="450" customFormat="false" ht="15" hidden="false" customHeight="false" outlineLevel="0" collapsed="false">
      <c r="A450" s="0" t="s">
        <v>1138</v>
      </c>
    </row>
    <row r="451" customFormat="false" ht="15" hidden="false" customHeight="false" outlineLevel="0" collapsed="false">
      <c r="A451" s="0" t="s">
        <v>1139</v>
      </c>
    </row>
    <row r="452" customFormat="false" ht="15" hidden="false" customHeight="false" outlineLevel="0" collapsed="false">
      <c r="A452" s="0" t="s">
        <v>1140</v>
      </c>
    </row>
    <row r="453" customFormat="false" ht="15" hidden="false" customHeight="false" outlineLevel="0" collapsed="false">
      <c r="A453" s="0" t="s">
        <v>1141</v>
      </c>
    </row>
    <row r="454" customFormat="false" ht="15" hidden="false" customHeight="false" outlineLevel="0" collapsed="false">
      <c r="A454" s="0" t="s">
        <v>1142</v>
      </c>
    </row>
    <row r="455" customFormat="false" ht="15" hidden="false" customHeight="false" outlineLevel="0" collapsed="false">
      <c r="A455" s="0" t="s">
        <v>1143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2026-06-16T16:24:13Z</dcterms:created>
  <dc:creator>openpyxl</dc:creator>
  <dc:description/>
  <dc:language>en-US</dc:language>
  <cp:lastModifiedBy/>
  <dcterms:modified xsi:type="dcterms:W3CDTF">2026-06-16T16:24:13Z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